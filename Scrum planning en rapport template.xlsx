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cr\Downloads\"/>
    </mc:Choice>
  </mc:AlternateContent>
  <xr:revisionPtr revIDLastSave="0" documentId="13_ncr:1_{A088DC82-DEF8-40BD-B657-6AF7853AA6C6}" xr6:coauthVersionLast="47" xr6:coauthVersionMax="47" xr10:uidLastSave="{00000000-0000-0000-0000-000000000000}"/>
  <bookViews>
    <workbookView xWindow="-108" yWindow="-108" windowWidth="23256" windowHeight="12456" activeTab="1" xr2:uid="{E07F6153-1B8C-43A7-97BD-457FD435295E}"/>
  </bookViews>
  <sheets>
    <sheet name="Dashboard" sheetId="3" r:id="rId1"/>
    <sheet name="Epic overview" sheetId="11" r:id="rId2"/>
    <sheet name="Backlog" sheetId="1" r:id="rId3"/>
    <sheet name="Sprint 0" sheetId="12" r:id="rId4"/>
    <sheet name="Sprint 1" sheetId="2" r:id="rId5"/>
    <sheet name="Sprint 2" sheetId="4" r:id="rId6"/>
    <sheet name="Sprint 3" sheetId="5" r:id="rId7"/>
    <sheet name="Sprint 4" sheetId="6" r:id="rId8"/>
    <sheet name="Sprint 5" sheetId="7" r:id="rId9"/>
    <sheet name="Sprint 6" sheetId="8" r:id="rId10"/>
    <sheet name="Sprint 7" sheetId="10" r:id="rId11"/>
  </sheets>
  <definedNames>
    <definedName name="_xlnm._FilterDatabase" localSheetId="1" hidden="1">'Epic overview'!$B$10:$D$10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1" i="12" l="1"/>
  <c r="H31" i="12"/>
  <c r="G31" i="12"/>
  <c r="F31" i="12"/>
  <c r="D15" i="3"/>
  <c r="D16" i="3"/>
  <c r="D17" i="3"/>
  <c r="C16" i="3"/>
  <c r="C17" i="3"/>
  <c r="C15" i="3"/>
  <c r="I31" i="10"/>
  <c r="D11" i="3" s="1"/>
  <c r="H31" i="10"/>
  <c r="G31" i="10"/>
  <c r="F31" i="10"/>
  <c r="I31" i="8"/>
  <c r="H31" i="8"/>
  <c r="G31" i="8"/>
  <c r="F31" i="8"/>
  <c r="I31" i="7"/>
  <c r="H31" i="7"/>
  <c r="G31" i="7"/>
  <c r="F31" i="7"/>
  <c r="I31" i="6"/>
  <c r="H31" i="6"/>
  <c r="G31" i="6"/>
  <c r="F31" i="6"/>
  <c r="I31" i="5"/>
  <c r="H31" i="5"/>
  <c r="G31" i="5"/>
  <c r="F31" i="5"/>
  <c r="I31" i="4"/>
  <c r="H31" i="4"/>
  <c r="G31" i="4"/>
  <c r="F31" i="4"/>
  <c r="G31" i="2"/>
  <c r="D9" i="3" s="1"/>
  <c r="H31" i="2"/>
  <c r="D10" i="3" s="1"/>
  <c r="I31" i="2"/>
  <c r="F31" i="2"/>
  <c r="D8" i="3" l="1"/>
  <c r="D18" i="3"/>
  <c r="C18" i="3"/>
</calcChain>
</file>

<file path=xl/sharedStrings.xml><?xml version="1.0" encoding="utf-8"?>
<sst xmlns="http://schemas.openxmlformats.org/spreadsheetml/2006/main" count="350" uniqueCount="104">
  <si>
    <t>Dashboard</t>
  </si>
  <si>
    <t>Team naam</t>
  </si>
  <si>
    <t>GitHub repo url</t>
  </si>
  <si>
    <t>Overzicht Team</t>
  </si>
  <si>
    <t>Team lid</t>
  </si>
  <si>
    <t>Naam</t>
  </si>
  <si>
    <t>Gewerkt</t>
  </si>
  <si>
    <t>Team lid 1</t>
  </si>
  <si>
    <t>Team lid 2</t>
  </si>
  <si>
    <t>Team lid 3</t>
  </si>
  <si>
    <t>Team lid 4</t>
  </si>
  <si>
    <t>Overzicht backlog</t>
  </si>
  <si>
    <t>Status</t>
  </si>
  <si>
    <t>Totaal aantal</t>
  </si>
  <si>
    <t>Aantal SP</t>
  </si>
  <si>
    <t>Todo</t>
  </si>
  <si>
    <t>In progress</t>
  </si>
  <si>
    <t>Done</t>
  </si>
  <si>
    <t>Totaal</t>
  </si>
  <si>
    <t>Epic overview</t>
  </si>
  <si>
    <t>Domain</t>
  </si>
  <si>
    <t>Epic ID</t>
  </si>
  <si>
    <t>Omschrijving</t>
  </si>
  <si>
    <t>Prioriteit</t>
  </si>
  <si>
    <t>Product Backlog</t>
  </si>
  <si>
    <t>Statussen</t>
  </si>
  <si>
    <t>GH Issue ID</t>
  </si>
  <si>
    <t>Afhankelijkheden</t>
  </si>
  <si>
    <t>Story points</t>
  </si>
  <si>
    <t>Sprint</t>
  </si>
  <si>
    <t>Opmerkingen</t>
  </si>
  <si>
    <t>Prioriteiten</t>
  </si>
  <si>
    <t>High</t>
  </si>
  <si>
    <t>Medium</t>
  </si>
  <si>
    <t>Low</t>
  </si>
  <si>
    <t>Backlog Sprint 0</t>
  </si>
  <si>
    <t>1. Sprint info</t>
  </si>
  <si>
    <t>Setup sprint</t>
  </si>
  <si>
    <t>Start:</t>
  </si>
  <si>
    <t>Einde:</t>
  </si>
  <si>
    <t>Aantal mandagen:</t>
  </si>
  <si>
    <t>Streefgewicht:</t>
  </si>
  <si>
    <t>Gepland gewicht:</t>
  </si>
  <si>
    <t>Sprintdoel</t>
  </si>
  <si>
    <t>Doel van deze sprint is de setup te doen van waaruit het eigenlijke development en configuratiewerk kan gebeuren.</t>
  </si>
  <si>
    <t>2. Sprint backlog</t>
  </si>
  <si>
    <t>Gewerkt aantal uren</t>
  </si>
  <si>
    <t>Verantwoordelijke</t>
  </si>
  <si>
    <t>Teamlid 1</t>
  </si>
  <si>
    <t>Teamlid 2</t>
  </si>
  <si>
    <t>Teamlid 3</t>
  </si>
  <si>
    <t>Teamlid 4</t>
  </si>
  <si>
    <t>3. Bemerkingen Sprint</t>
  </si>
  <si>
    <t>Nr</t>
  </si>
  <si>
    <t>Bemerking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</si>
  <si>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</si>
  <si>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</si>
  <si>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</si>
  <si>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</si>
  <si>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</si>
  <si>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</si>
  <si>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</si>
  <si>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</si>
  <si>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</si>
  <si>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</si>
  <si>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Backlog Sprint 1</t>
  </si>
  <si>
    <t>Backlog Sprint 2</t>
  </si>
  <si>
    <t>Backlog Sprint 3</t>
  </si>
  <si>
    <t>Backlog Sprint 4</t>
  </si>
  <si>
    <t>Backlog Sprint 5</t>
  </si>
  <si>
    <t>Backlog Sprint 6</t>
  </si>
  <si>
    <t>Backlog Sprint 7</t>
  </si>
  <si>
    <r>
      <t xml:space="preserve">In deze template hebben we met Infofarm aangegeven </t>
    </r>
    <r>
      <rPr>
        <b/>
        <sz val="8"/>
        <color rgb="FF222222"/>
        <rFont val="Century Gothic"/>
      </rPr>
      <t xml:space="preserve">welke features we opgeleverd verwachten aan het einde van dit project. 
</t>
    </r>
    <r>
      <rPr>
        <sz val="8"/>
        <color rgb="FF222222"/>
        <rFont val="Century Gothic"/>
      </rPr>
      <t xml:space="preserve">
Omdat we beseffen dat inschattingen steeds onzeker zijn hebben we deze opgesplitst in drie verschillende prioriteiten. 
</t>
    </r>
    <r>
      <rPr>
        <b/>
        <sz val="8"/>
        <color rgb="FF222222"/>
        <rFont val="Century Gothic"/>
      </rPr>
      <t>MH</t>
    </r>
    <r>
      <rPr>
        <sz val="8"/>
        <color rgb="FF222222"/>
        <rFont val="Century Gothic"/>
      </rPr>
      <t xml:space="preserve"> - Must Haves: Deze features behoren tot de MVP en horen dus absoluut in de opgeleverde scope te zitten aan het einde van het traject. 
</t>
    </r>
    <r>
      <rPr>
        <b/>
        <sz val="8"/>
        <color rgb="FF222222"/>
        <rFont val="Century Gothic"/>
      </rPr>
      <t>SH</t>
    </r>
    <r>
      <rPr>
        <sz val="8"/>
        <color rgb="FF222222"/>
        <rFont val="Century Gothic"/>
      </rPr>
      <t xml:space="preserve"> - Should Haves: Deze features zouden we er zeer graag bij hebben, ook al beseffen dat deze niet absoluut noodzakelijk zijn voor onze MVP. 
</t>
    </r>
    <r>
      <rPr>
        <b/>
        <sz val="8"/>
        <color rgb="FF222222"/>
        <rFont val="Century Gothic"/>
      </rPr>
      <t>CH</t>
    </r>
    <r>
      <rPr>
        <sz val="8"/>
        <color rgb="FF222222"/>
        <rFont val="Century Gothic"/>
      </rPr>
      <t xml:space="preserve"> - Could Haves: Mochten jullie één of meerdere van deze features kunnen opleveren, zou je ons &amp; onze klanten zeer blij maken!
De bedoeling is dat jullie hier zorgen dat de epics worden aangevuld met userstories, tasks &amp; eventueel extra epics. 
De informatie daarvoor kunnen jullie uit jullie blueprints halen. 
Al deze epics &amp; userstories worden voor aanvang van </t>
    </r>
    <r>
      <rPr>
        <b/>
        <sz val="8"/>
        <color rgb="FF222222"/>
        <rFont val="Century Gothic"/>
      </rPr>
      <t xml:space="preserve">sprint 1 </t>
    </r>
    <r>
      <rPr>
        <sz val="8"/>
        <color rgb="FF222222"/>
        <rFont val="Century Gothic"/>
      </rPr>
      <t xml:space="preserve">gedocumenteerd in jullie </t>
    </r>
    <r>
      <rPr>
        <b/>
        <sz val="8"/>
        <color rgb="FF222222"/>
        <rFont val="Century Gothic"/>
      </rPr>
      <t xml:space="preserve">Github project!
</t>
    </r>
  </si>
  <si>
    <t>https://github.com/RichardStepanajtjs/AI-Project</t>
  </si>
  <si>
    <t>ETL</t>
  </si>
  <si>
    <t>Soufiane Koujil</t>
  </si>
  <si>
    <t>Angeles Osier</t>
  </si>
  <si>
    <t>Richard Stepanajtjs</t>
  </si>
  <si>
    <t>REQ-F01</t>
  </si>
  <si>
    <t>REQ-F02</t>
  </si>
  <si>
    <t>REQ-F03</t>
  </si>
  <si>
    <t>REQ-F04</t>
  </si>
  <si>
    <t>REQ-F05</t>
  </si>
  <si>
    <t>REQ-F06</t>
  </si>
  <si>
    <t>Als gebruiker wil ik bedrijven kunnen zoeken op basis van een zoekopdracht (query), zodat ik potentiële klanten kan vinden.</t>
  </si>
  <si>
    <t>Als gebruiker wil ik zoekresultaten kunnen filteren op relevante technologieën, zodat ik gerichte prospectielijsten krijg.</t>
  </si>
  <si>
    <t>Het systeem haalt bedrijfsinformatie op uit vacatures op en slaat deze op in de database.</t>
  </si>
  <si>
    <t>Het systeem haalt bedrijfsinformatie op uit de KBO-databank om prospecten te verrijken.</t>
  </si>
  <si>
    <t>Gebruikers moeten kunnen inloggen om toegang te krijgen tot de applicatie.</t>
  </si>
  <si>
    <t>Het systeem biedt een REST API aan voor integratie met een extern CRM-systeem.</t>
  </si>
  <si>
    <t>Bedrijven zoeken</t>
  </si>
  <si>
    <t>MH</t>
  </si>
  <si>
    <t>Filteren op technologie</t>
  </si>
  <si>
    <t>Vacatures ophalen</t>
  </si>
  <si>
    <t>KBO-data ophalen</t>
  </si>
  <si>
    <t>Authenticatie</t>
  </si>
  <si>
    <t>CRM-integratie</t>
  </si>
  <si>
    <t>REQ-NF01</t>
  </si>
  <si>
    <t>REQ-NF02</t>
  </si>
  <si>
    <t>Cloudplatform</t>
  </si>
  <si>
    <t>Gebruiksvriendelijke interface</t>
  </si>
  <si>
    <t>De applicatie draait op een cloudplatform.</t>
  </si>
  <si>
    <t>De front-end is intuïtief en toegankelijk voor niet-technische gebruikers.</t>
  </si>
  <si>
    <t>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</si>
</sst>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0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1"/>
      <color rgb="FF8A1A17"/>
      <name val="Calibri"/>
      <family val="2"/>
      <scheme val="minor"/>
    </font>
    <font>
      <sz val="8"/>
      <color rgb="FF222222"/>
      <name val="Century Gothic"/>
    </font>
    <font>
      <b/>
      <sz val="8"/>
      <color rgb="FF222222"/>
      <name val="Century Gothic"/>
    </font>
    <font>
      <sz val="11"/>
      <color rgb="FF000000"/>
      <name val="Calibri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A1A1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0D7D7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theme="0" tint="-0.14996795556505021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9">
    <xf numFmtId="0" fontId="0" fillId="0" borderId="0" xfId="0"/>
    <xf numFmtId="0" fontId="0" fillId="2" borderId="0" xfId="0" applyFill="1"/>
    <xf numFmtId="0" fontId="2" fillId="0" borderId="0" xfId="0" applyFont="1"/>
    <xf numFmtId="0" fontId="0" fillId="0" borderId="0" xfId="0" applyAlignment="1">
      <alignment wrapText="1"/>
    </xf>
    <xf numFmtId="0" fontId="3" fillId="2" borderId="0" xfId="0" applyFont="1" applyFill="1"/>
    <xf numFmtId="0" fontId="1" fillId="2" borderId="0" xfId="0" applyFont="1" applyFill="1" applyAlignment="1">
      <alignment wrapText="1"/>
    </xf>
    <xf numFmtId="0" fontId="0" fillId="0" borderId="5" xfId="0" applyBorder="1"/>
    <xf numFmtId="0" fontId="5" fillId="0" borderId="5" xfId="0" applyFont="1" applyBorder="1"/>
    <xf numFmtId="0" fontId="2" fillId="0" borderId="6" xfId="0" applyFont="1" applyBorder="1"/>
    <xf numFmtId="0" fontId="6" fillId="0" borderId="6" xfId="0" applyFont="1" applyBorder="1"/>
    <xf numFmtId="0" fontId="0" fillId="3" borderId="6" xfId="0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0" xfId="0" applyFont="1" applyAlignment="1">
      <alignment vertical="top" wrapText="1"/>
    </xf>
    <xf numFmtId="0" fontId="1" fillId="2" borderId="14" xfId="0" applyFont="1" applyFill="1" applyBorder="1"/>
    <xf numFmtId="0" fontId="0" fillId="4" borderId="0" xfId="0" applyFill="1"/>
    <xf numFmtId="0" fontId="0" fillId="0" borderId="16" xfId="0" applyBorder="1"/>
    <xf numFmtId="0" fontId="0" fillId="0" borderId="17" xfId="0" applyBorder="1"/>
    <xf numFmtId="0" fontId="9" fillId="0" borderId="0" xfId="0" applyFont="1" applyAlignment="1">
      <alignment wrapText="1"/>
    </xf>
    <xf numFmtId="0" fontId="0" fillId="0" borderId="0" xfId="0" applyAlignment="1">
      <alignment horizontal="left"/>
    </xf>
    <xf numFmtId="0" fontId="4" fillId="2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7" fillId="0" borderId="0" xfId="0" applyFont="1" applyAlignment="1">
      <alignment horizontal="left" vertical="top" wrapText="1"/>
    </xf>
    <xf numFmtId="0" fontId="7" fillId="0" borderId="15" xfId="0" applyFont="1" applyBorder="1" applyAlignment="1">
      <alignment horizontal="left" vertical="top" wrapText="1"/>
    </xf>
    <xf numFmtId="0" fontId="0" fillId="0" borderId="0" xfId="0"/>
    <xf numFmtId="0" fontId="0" fillId="0" borderId="11" xfId="0" applyBorder="1"/>
    <xf numFmtId="0" fontId="1" fillId="2" borderId="0" xfId="0" applyFont="1" applyFill="1"/>
    <xf numFmtId="0" fontId="0" fillId="3" borderId="0" xfId="0" applyFill="1" applyAlignment="1">
      <alignment vertical="top"/>
    </xf>
    <xf numFmtId="0" fontId="1" fillId="2" borderId="0" xfId="0" applyFont="1" applyFill="1" applyAlignment="1">
      <alignment horizontal="center"/>
    </xf>
    <xf numFmtId="0" fontId="1" fillId="2" borderId="8" xfId="0" applyFont="1" applyFill="1" applyBorder="1"/>
    <xf numFmtId="0" fontId="1" fillId="2" borderId="9" xfId="0" applyFont="1" applyFill="1" applyBorder="1"/>
    <xf numFmtId="0" fontId="0" fillId="0" borderId="5" xfId="0" applyBorder="1"/>
    <xf numFmtId="0" fontId="0" fillId="0" borderId="13" xfId="0" applyBorder="1"/>
    <xf numFmtId="0" fontId="10" fillId="0" borderId="1" xfId="1" applyBorder="1" applyAlignment="1">
      <alignment horizontal="center"/>
    </xf>
    <xf numFmtId="0" fontId="0" fillId="0" borderId="18" xfId="0" applyFont="1" applyBorder="1" applyAlignment="1">
      <alignment vertical="center" wrapText="1"/>
    </xf>
    <xf numFmtId="0" fontId="0" fillId="0" borderId="19" xfId="0" applyFill="1" applyBorder="1"/>
  </cellXfs>
  <cellStyles count="2">
    <cellStyle name="Hyperlink" xfId="1" builtinId="8"/>
    <cellStyle name="Normal" xfId="0" builtinId="0"/>
  </cellStyles>
  <dxfs count="11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8A1A17"/>
        </patternFill>
      </fill>
    </dxf>
  </dxfs>
  <tableStyles count="0" defaultTableStyle="TableStyleMedium2" defaultPivotStyle="PivotStyleLight16"/>
  <colors>
    <mruColors>
      <color rgb="FFE0D7D7"/>
      <color rgb="FF8A1A17"/>
      <color rgb="FF9700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82689C-D0AA-4F4B-919B-87E3028818E8}" name="Table4" displayName="Table4" ref="B14:D17" totalsRowShown="0" headerRowDxfId="110">
  <autoFilter ref="B14:D17" xr:uid="{AA82689C-D0AA-4F4B-919B-87E3028818E8}"/>
  <tableColumns count="3">
    <tableColumn id="1" xr3:uid="{5275A149-D9C7-4765-8593-A42F0BE5A234}" name="Status"/>
    <tableColumn id="2" xr3:uid="{5D1A658E-6171-4853-98CD-6AB729C001BE}" name="Totaal aantal" dataDxfId="109">
      <calculatedColumnFormula>COUNTIF(Backlog!$I$4:$I$51, B15)</calculatedColumnFormula>
    </tableColumn>
    <tableColumn id="3" xr3:uid="{8E35AA80-EB15-4700-9B95-52F62AF6B801}" name="Aantal SP" dataDxfId="108">
      <calculatedColumnFormula>SUMIF(Backlog!$I$4:$I$51, B15, Backlog!$G$4:$G$51)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31D63E-5C3E-42E3-BE92-09D26924F40D}" name="Table1" displayName="Table1" ref="A3:J4" totalsRowShown="0" headerRowDxfId="107" dataDxfId="106">
  <autoFilter ref="A3:J4" xr:uid="{0C31D63E-5C3E-42E3-BE92-09D26924F40D}"/>
  <tableColumns count="10">
    <tableColumn id="1" xr3:uid="{86C438A9-95F7-480B-8605-663A6D33F9E8}" name="GH Issue ID" dataDxfId="105"/>
    <tableColumn id="2" xr3:uid="{A67F3775-FD76-4B45-9318-AEB1E2DDB617}" name="Naam" dataDxfId="104"/>
    <tableColumn id="10" xr3:uid="{D71A8556-082B-4B32-B6BE-5BE60F40C14A}" name="Epic ID" dataDxfId="103"/>
    <tableColumn id="3" xr3:uid="{C10F2FCC-7C0D-4C38-B585-FDBE69D8CB6A}" name="Omschrijving" dataDxfId="102"/>
    <tableColumn id="4" xr3:uid="{B10BE454-0779-4408-827E-18CAFA3FA6F4}" name="Prioriteit" dataDxfId="101"/>
    <tableColumn id="5" xr3:uid="{9DD6B241-13CA-4C6A-B38D-F66ABDFB4D1F}" name="Afhankelijkheden" dataDxfId="100"/>
    <tableColumn id="6" xr3:uid="{3917555F-8AC1-4D61-A1D1-AD989DECCDD8}" name="Story points" dataDxfId="99"/>
    <tableColumn id="7" xr3:uid="{59A344ED-FCCF-4D1D-863D-3BC0B67970BA}" name="Sprint" dataDxfId="98"/>
    <tableColumn id="8" xr3:uid="{7FB5F6F2-7561-43E7-940F-616623FD98C9}" name="Status" dataDxfId="97"/>
    <tableColumn id="9" xr3:uid="{FC693D5F-36C5-47E3-8471-4017AADBBDA4}" name="Opmerkingen" dataDxfId="9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136A71-E192-4E59-A0AE-01ABAE9AAE69}" name="Table24" displayName="Table24" ref="A16:J31" totalsRowShown="0" headerRowDxfId="95" dataDxfId="94">
  <autoFilter ref="A16:J31" xr:uid="{198F3B95-5438-449A-BDFC-00DF23AD9062}"/>
  <tableColumns count="10">
    <tableColumn id="1" xr3:uid="{B6DA48E4-0853-43F9-B086-D26EC7805D63}" name="GH Issue ID" dataDxfId="93"/>
    <tableColumn id="2" xr3:uid="{5DC050A8-DE64-48A1-9BF4-0100253F944D}" name="Naam" dataDxfId="92"/>
    <tableColumn id="3" xr3:uid="{93B5ABB2-6352-407E-B740-DEE4C236A365}" name="Story points" dataDxfId="91"/>
    <tableColumn id="4" xr3:uid="{83737B22-1A2C-4ECD-AB68-C84ADFC31F9D}" name="Verantwoordelijke" dataDxfId="90"/>
    <tableColumn id="9" xr3:uid="{C2D27EC1-9AEA-461C-8838-FB8067C71AD3}" name="Status" dataDxfId="89"/>
    <tableColumn id="5" xr3:uid="{38A7A10A-1E3A-479E-A257-DAC80E43CA2A}" name="Teamlid 1" dataDxfId="88"/>
    <tableColumn id="6" xr3:uid="{7988C9D8-34D5-4507-856A-289019DF8FE2}" name="Teamlid 2" dataDxfId="87"/>
    <tableColumn id="7" xr3:uid="{9793915D-606D-4025-898A-3F783720CDC8}" name="Teamlid 3" dataDxfId="86"/>
    <tableColumn id="8" xr3:uid="{0BA8E6A4-A2A9-47C8-8F9D-A066E55C6517}" name="Teamlid 4" dataDxfId="85"/>
    <tableColumn id="10" xr3:uid="{EBE9CA32-642A-466B-85A2-B9A6CE61FD8F}" name="Opmerkingen" dataDxfId="8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8F3B95-5438-449A-BDFC-00DF23AD9062}" name="Table2" displayName="Table2" ref="A16:J31" totalsRowShown="0" headerRowDxfId="83" dataDxfId="82">
  <autoFilter ref="A16:J31" xr:uid="{198F3B95-5438-449A-BDFC-00DF23AD9062}"/>
  <tableColumns count="10">
    <tableColumn id="1" xr3:uid="{C9D092C8-DF0C-41AE-9A9F-5957EA787EFA}" name="GH Issue ID" dataDxfId="81"/>
    <tableColumn id="2" xr3:uid="{C5721FD3-090C-4D56-9ACB-3697D4EDA10A}" name="Naam" dataDxfId="80"/>
    <tableColumn id="3" xr3:uid="{8A37EA2E-3776-4DCB-A3D1-A9343CEBA628}" name="Story points" dataDxfId="79"/>
    <tableColumn id="4" xr3:uid="{B5EEB923-2F99-4C7C-AD97-5669CF76C276}" name="Verantwoordelijke" dataDxfId="78"/>
    <tableColumn id="9" xr3:uid="{25F23FF8-DC69-4416-8E59-49F3A223C3D8}" name="Status" dataDxfId="77"/>
    <tableColumn id="5" xr3:uid="{EAAD0A99-D2D1-42BB-81FB-8AF31743CAEA}" name="Teamlid 1" dataDxfId="76"/>
    <tableColumn id="6" xr3:uid="{55687A22-E147-4769-A951-CF602C170BA4}" name="Teamlid 2" dataDxfId="75"/>
    <tableColumn id="7" xr3:uid="{F8166508-ACCD-4E9E-83BA-561D6186C251}" name="Teamlid 3" dataDxfId="74"/>
    <tableColumn id="8" xr3:uid="{8EADC057-5EC1-4B0E-94F0-1D219CB2E30A}" name="Teamlid 4" dataDxfId="73"/>
    <tableColumn id="10" xr3:uid="{C8A8C3EF-AA3B-428D-B2E3-1853773624A6}" name="Opmerkingen" dataDxfId="7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C9040B-4936-442D-85EA-A47F1C9DE65E}" name="Table27" displayName="Table27" ref="A16:J31" totalsRowShown="0" headerRowDxfId="71" dataDxfId="70">
  <autoFilter ref="A16:J31" xr:uid="{198F3B95-5438-449A-BDFC-00DF23AD9062}"/>
  <tableColumns count="10">
    <tableColumn id="1" xr3:uid="{8916CFA5-54A5-42F4-B89B-B0612857B9CE}" name="GH Issue ID" dataDxfId="69"/>
    <tableColumn id="2" xr3:uid="{0DBEA3BE-D0E2-4D62-9923-066AC1CF6ACB}" name="Naam" dataDxfId="68"/>
    <tableColumn id="3" xr3:uid="{2F7CF326-084D-48D9-AC46-3504270DEADD}" name="Story points" dataDxfId="67"/>
    <tableColumn id="4" xr3:uid="{A6BBF7CE-67F0-4A27-99E7-483A522B0518}" name="Verantwoordelijke" dataDxfId="66"/>
    <tableColumn id="9" xr3:uid="{7AC07B42-A8C4-4077-A8C5-24C3CE3F2F6A}" name="Status" dataDxfId="65"/>
    <tableColumn id="5" xr3:uid="{A9725AE1-FC98-441B-8F0D-264CAF70B2C5}" name="Teamlid 1" dataDxfId="64"/>
    <tableColumn id="6" xr3:uid="{BA18A645-2446-43D8-AEFE-4544C8D1A835}" name="Teamlid 2" dataDxfId="63"/>
    <tableColumn id="7" xr3:uid="{E333262D-2C5D-4F38-ABC1-A97AD1AE5650}" name="Teamlid 3" dataDxfId="62"/>
    <tableColumn id="8" xr3:uid="{33585DD2-D5FA-40A4-9AFD-ED260F809A45}" name="Teamlid 4" dataDxfId="61"/>
    <tableColumn id="10" xr3:uid="{0BF8D939-F40C-4D0D-8C54-66131D51676C}" name="Opmerkingen" dataDxfId="6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FE61FA-5E06-4308-84F2-6A71F826A2CB}" name="Table278" displayName="Table278" ref="A16:J31" totalsRowShown="0" headerRowDxfId="59" dataDxfId="58">
  <autoFilter ref="A16:J31" xr:uid="{198F3B95-5438-449A-BDFC-00DF23AD9062}"/>
  <tableColumns count="10">
    <tableColumn id="1" xr3:uid="{ECCF15EC-370A-4A23-A8B3-DE00A0BA910C}" name="GH Issue ID" dataDxfId="57"/>
    <tableColumn id="2" xr3:uid="{710EDF6C-C94D-49D8-8450-2D316F643685}" name="Naam" dataDxfId="56"/>
    <tableColumn id="3" xr3:uid="{99CCE717-B8F5-4C65-B7E5-B11EE1178CBB}" name="Story points" dataDxfId="55"/>
    <tableColumn id="4" xr3:uid="{13841C70-F1DE-468D-AF08-91CF711A2FA8}" name="Verantwoordelijke" dataDxfId="54"/>
    <tableColumn id="9" xr3:uid="{D97DDEBE-A3AA-4687-8A3C-75FD99AFA69B}" name="Status" dataDxfId="53"/>
    <tableColumn id="5" xr3:uid="{89BAD886-2B58-47A8-9AB2-0A2BF64D5E05}" name="Teamlid 1" dataDxfId="52"/>
    <tableColumn id="6" xr3:uid="{63D57D67-51F4-451D-B03C-EC8E77E2D2A3}" name="Teamlid 2" dataDxfId="51"/>
    <tableColumn id="7" xr3:uid="{8A7BBF2B-7ACC-4CF1-86BE-39E8AA3927DD}" name="Teamlid 3" dataDxfId="50"/>
    <tableColumn id="8" xr3:uid="{6F17A48E-B667-4F21-A278-5A93B0276BBF}" name="Teamlid 4" dataDxfId="49"/>
    <tableColumn id="10" xr3:uid="{96D8F2BC-463B-42FD-92FB-C88CE96EC27B}" name="Opmerkingen" dataDxfId="4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1F9950-A300-4FC4-8042-878DBA07BAEB}" name="Table2789" displayName="Table2789" ref="A16:J31" totalsRowShown="0" headerRowDxfId="47" dataDxfId="46">
  <autoFilter ref="A16:J31" xr:uid="{198F3B95-5438-449A-BDFC-00DF23AD9062}"/>
  <tableColumns count="10">
    <tableColumn id="1" xr3:uid="{29FDC4C7-01ED-4B65-B7E4-986D36F37FE7}" name="GH Issue ID" dataDxfId="45"/>
    <tableColumn id="2" xr3:uid="{4142CFA4-C685-4374-A3A1-302D4A52AB02}" name="Naam" dataDxfId="44"/>
    <tableColumn id="3" xr3:uid="{127F64D4-0C21-41B0-977D-7DECC73ABC81}" name="Story points" dataDxfId="43"/>
    <tableColumn id="4" xr3:uid="{D8394C22-A6D9-454D-8F8C-25598EDFB53F}" name="Verantwoordelijke" dataDxfId="42"/>
    <tableColumn id="9" xr3:uid="{F4DDA50E-025D-4C0C-A1FD-987D64A50E7F}" name="Status" dataDxfId="41"/>
    <tableColumn id="5" xr3:uid="{4E0E50BF-17A6-446C-873E-4A578DF00414}" name="Teamlid 1" dataDxfId="40"/>
    <tableColumn id="6" xr3:uid="{F1C0BB29-5E1A-4A98-84AC-B87F1D75EE27}" name="Teamlid 2" dataDxfId="39"/>
    <tableColumn id="7" xr3:uid="{6B6D8022-012E-4272-A2BF-61F054BE8935}" name="Teamlid 3" dataDxfId="38"/>
    <tableColumn id="8" xr3:uid="{65DA05D7-2999-4855-8EEC-FF0F409AE9C9}" name="Teamlid 4" dataDxfId="37"/>
    <tableColumn id="10" xr3:uid="{C5C5A4E7-E90F-455C-B43F-D7FD5D2D68D9}" name="Opmerkingen" dataDxfId="36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F6B1A-F1D7-4DF4-A491-7B58938427DD}" name="Table278910" displayName="Table278910" ref="A16:J31" totalsRowShown="0" headerRowDxfId="35" dataDxfId="34">
  <autoFilter ref="A16:J31" xr:uid="{198F3B95-5438-449A-BDFC-00DF23AD9062}"/>
  <tableColumns count="10">
    <tableColumn id="1" xr3:uid="{EE975054-A57E-4D0D-90A1-8E725F3F3074}" name="GH Issue ID" dataDxfId="33"/>
    <tableColumn id="2" xr3:uid="{0C8F423B-F884-4277-A47A-89095EEEBE2B}" name="Naam" dataDxfId="32"/>
    <tableColumn id="3" xr3:uid="{F503BACC-D3AA-4CD0-AB78-C288EA932F9F}" name="Story points" dataDxfId="31"/>
    <tableColumn id="4" xr3:uid="{D1ACEE8F-58B5-4EBB-AEC9-372AB0CB60BC}" name="Verantwoordelijke" dataDxfId="30"/>
    <tableColumn id="9" xr3:uid="{9395E20C-F3BB-4A8C-9CAB-BAA621965553}" name="Status" dataDxfId="29"/>
    <tableColumn id="5" xr3:uid="{151BE4BC-69EA-4049-8656-B32022B90D05}" name="Teamlid 1" dataDxfId="28"/>
    <tableColumn id="6" xr3:uid="{04B6F6E4-0EE8-4AB9-8334-CDF961B6728F}" name="Teamlid 2" dataDxfId="27"/>
    <tableColumn id="7" xr3:uid="{CA5CBFAD-A008-4C9A-80B3-DF772767053E}" name="Teamlid 3" dataDxfId="26"/>
    <tableColumn id="8" xr3:uid="{F2C90162-8D73-4A5B-8FCC-DBDF4A5C0D92}" name="Teamlid 4" dataDxfId="25"/>
    <tableColumn id="10" xr3:uid="{0DED0096-FC49-4F27-BA60-C37EC36DF615}" name="Opmerkingen" dataDxfId="2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4D66498-26B0-41D1-9481-24C10689A9AD}" name="Table27891011" displayName="Table27891011" ref="A16:J31" totalsRowShown="0" headerRowDxfId="23" dataDxfId="22">
  <autoFilter ref="A16:J31" xr:uid="{198F3B95-5438-449A-BDFC-00DF23AD9062}"/>
  <tableColumns count="10">
    <tableColumn id="1" xr3:uid="{B521FFE7-4C63-4BB4-9129-44090DE5A213}" name="GH Issue ID" dataDxfId="21"/>
    <tableColumn id="2" xr3:uid="{18B91A2E-2E46-46C9-903F-D09E26557EA2}" name="Naam" dataDxfId="20"/>
    <tableColumn id="3" xr3:uid="{D32295CD-1979-480C-A04C-6E142033E375}" name="Story points" dataDxfId="19"/>
    <tableColumn id="4" xr3:uid="{25E968EF-41A7-4B0D-B2EC-9C23D3B1CC39}" name="Verantwoordelijke" dataDxfId="18"/>
    <tableColumn id="9" xr3:uid="{E0FCE262-00D8-40A7-8121-8D15978B3FC7}" name="Status" dataDxfId="17"/>
    <tableColumn id="5" xr3:uid="{3F9C790A-528C-4202-80B4-54873DA40E53}" name="Teamlid 1" dataDxfId="16"/>
    <tableColumn id="6" xr3:uid="{A2407A9E-5D0E-4E25-B95D-9FE26E44458A}" name="Teamlid 2" dataDxfId="15"/>
    <tableColumn id="7" xr3:uid="{7667DB09-8CBC-4FBC-951C-2CAB10DC6766}" name="Teamlid 3" dataDxfId="14"/>
    <tableColumn id="8" xr3:uid="{87FA53ED-76BC-43BD-BFB9-9E699AFAC43F}" name="Teamlid 4" dataDxfId="13"/>
    <tableColumn id="10" xr3:uid="{64076762-98B1-41D1-8654-5E068FAB1FE6}" name="Opmerkingen" dataDxfId="1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0103EE-0C6F-4D22-BD5C-26F3E55EF072}" name="Table2789101112" displayName="Table2789101112" ref="A16:J31" totalsRowShown="0" headerRowDxfId="11" dataDxfId="10">
  <autoFilter ref="A16:J31" xr:uid="{198F3B95-5438-449A-BDFC-00DF23AD9062}"/>
  <tableColumns count="10">
    <tableColumn id="1" xr3:uid="{86CBE3EF-BEC2-4EA9-B00F-CF098FE0613D}" name="GH Issue ID" dataDxfId="9"/>
    <tableColumn id="2" xr3:uid="{B43FED28-8247-4649-99BD-8E320F57C72C}" name="Naam" dataDxfId="8"/>
    <tableColumn id="3" xr3:uid="{DDAFEF96-3EB1-495B-A49D-A8DABA90CEFF}" name="Story points" dataDxfId="7"/>
    <tableColumn id="4" xr3:uid="{1B3B2923-F121-4DF9-BD4C-347C7743D1C1}" name="Verantwoordelijke" dataDxfId="6"/>
    <tableColumn id="9" xr3:uid="{11342D9D-A111-439C-B2E2-8B6278089C05}" name="Status" dataDxfId="5"/>
    <tableColumn id="5" xr3:uid="{A1D66187-BDA1-44BF-BC4D-CEA8F8E7F368}" name="Teamlid 1" dataDxfId="4"/>
    <tableColumn id="6" xr3:uid="{393AA309-3CE3-414E-98F8-880F51B3981A}" name="Teamlid 2" dataDxfId="3"/>
    <tableColumn id="7" xr3:uid="{6CDCC270-4FE9-4EB5-B097-92C96DF82816}" name="Teamlid 3" dataDxfId="2"/>
    <tableColumn id="8" xr3:uid="{91AF5E67-835B-4564-AE5A-983CE3C69379}" name="Teamlid 4" dataDxfId="1"/>
    <tableColumn id="10" xr3:uid="{B686E766-F61E-452D-A999-8C27E87BA3CE}" name="Opmerkinge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github.com/RichardStepanajtjs/AI-Projec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E5DA5-9F86-4F5C-B1E1-90B69129D774}">
  <dimension ref="A1:I18"/>
  <sheetViews>
    <sheetView zoomScale="159" zoomScaleNormal="115" workbookViewId="0">
      <pane ySplit="1" topLeftCell="A9" activePane="bottomLeft" state="frozen"/>
      <selection pane="bottomLeft" activeCell="C11" sqref="C11"/>
    </sheetView>
  </sheetViews>
  <sheetFormatPr defaultColWidth="8.77734375" defaultRowHeight="14.4" x14ac:dyDescent="0.3"/>
  <cols>
    <col min="1" max="1" width="4.109375" customWidth="1"/>
    <col min="2" max="2" width="16" bestFit="1" customWidth="1"/>
    <col min="3" max="3" width="24" customWidth="1"/>
    <col min="4" max="4" width="17.77734375" customWidth="1"/>
  </cols>
  <sheetData>
    <row r="1" spans="1:9" ht="28.8" x14ac:dyDescent="0.55000000000000004">
      <c r="A1" s="21" t="s">
        <v>0</v>
      </c>
      <c r="B1" s="21"/>
      <c r="C1" s="21"/>
      <c r="D1" s="21"/>
      <c r="E1" s="21"/>
      <c r="F1" s="21"/>
      <c r="G1" s="21"/>
      <c r="H1" s="21"/>
      <c r="I1" s="21"/>
    </row>
    <row r="2" spans="1:9" ht="15" thickBot="1" x14ac:dyDescent="0.35"/>
    <row r="3" spans="1:9" ht="15" thickBot="1" x14ac:dyDescent="0.35">
      <c r="B3" s="2" t="s">
        <v>1</v>
      </c>
      <c r="C3" s="22" t="s">
        <v>74</v>
      </c>
      <c r="D3" s="23"/>
    </row>
    <row r="4" spans="1:9" ht="15" thickBot="1" x14ac:dyDescent="0.35">
      <c r="B4" s="2" t="s">
        <v>2</v>
      </c>
      <c r="C4" s="36" t="s">
        <v>73</v>
      </c>
      <c r="D4" s="24"/>
    </row>
    <row r="6" spans="1:9" x14ac:dyDescent="0.3">
      <c r="B6" s="2" t="s">
        <v>3</v>
      </c>
    </row>
    <row r="7" spans="1:9" x14ac:dyDescent="0.3">
      <c r="B7" s="4" t="s">
        <v>4</v>
      </c>
      <c r="C7" s="4" t="s">
        <v>5</v>
      </c>
      <c r="D7" s="4" t="s">
        <v>6</v>
      </c>
    </row>
    <row r="8" spans="1:9" x14ac:dyDescent="0.3">
      <c r="B8" s="2" t="s">
        <v>7</v>
      </c>
      <c r="C8" t="s">
        <v>75</v>
      </c>
      <c r="D8">
        <f>'Sprint 1'!$F$31+'Sprint 2'!$F$31+'Sprint 3'!$F$31+'Sprint 4'!$F$31+'Sprint 5'!$F$31+'Sprint 6'!$F$31+'Sprint 7'!$F$31</f>
        <v>0</v>
      </c>
    </row>
    <row r="9" spans="1:9" x14ac:dyDescent="0.3">
      <c r="B9" s="2" t="s">
        <v>8</v>
      </c>
      <c r="C9" t="s">
        <v>76</v>
      </c>
      <c r="D9">
        <f>'Sprint 1'!$G$31+'Sprint 2'!$G$31+'Sprint 3'!$G$31+'Sprint 4'!$G$31+'Sprint 5'!$G$31+'Sprint 6'!$G$31+'Sprint 7'!$G$31</f>
        <v>0</v>
      </c>
    </row>
    <row r="10" spans="1:9" x14ac:dyDescent="0.3">
      <c r="B10" s="2" t="s">
        <v>9</v>
      </c>
      <c r="C10" t="s">
        <v>77</v>
      </c>
      <c r="D10">
        <f>'Sprint 1'!$H$31+'Sprint 2'!$H$31+'Sprint 3'!$H$31+'Sprint 4'!$H$31+'Sprint 5'!$H$31+'Sprint 6'!$H$31+'Sprint 7'!$H$31</f>
        <v>0</v>
      </c>
    </row>
    <row r="11" spans="1:9" x14ac:dyDescent="0.3">
      <c r="B11" s="2" t="s">
        <v>10</v>
      </c>
      <c r="D11">
        <f>'Sprint 1'!$I$31+'Sprint 2'!$I$31+'Sprint 3'!$I$31+'Sprint 4'!$I$31+'Sprint 5'!$I$31+'Sprint 6'!$I$31+'Sprint 7'!$I$31</f>
        <v>0</v>
      </c>
    </row>
    <row r="13" spans="1:9" x14ac:dyDescent="0.3">
      <c r="B13" s="2" t="s">
        <v>11</v>
      </c>
    </row>
    <row r="14" spans="1:9" x14ac:dyDescent="0.3">
      <c r="B14" s="1" t="s">
        <v>12</v>
      </c>
      <c r="C14" s="1" t="s">
        <v>13</v>
      </c>
      <c r="D14" s="1" t="s">
        <v>14</v>
      </c>
    </row>
    <row r="15" spans="1:9" x14ac:dyDescent="0.3">
      <c r="B15" t="s">
        <v>15</v>
      </c>
      <c r="C15">
        <f>COUNTIF(Backlog!$I$4:$I$51, B15)</f>
        <v>0</v>
      </c>
      <c r="D15">
        <f>SUMIF(Backlog!$I$4:$I$51, B15, Backlog!$G$4:$G$51)</f>
        <v>0</v>
      </c>
    </row>
    <row r="16" spans="1:9" x14ac:dyDescent="0.3">
      <c r="B16" t="s">
        <v>16</v>
      </c>
      <c r="C16">
        <f>COUNTIF(Backlog!$I$4:$I$51, B16)</f>
        <v>0</v>
      </c>
      <c r="D16">
        <f>SUMIF(Backlog!$I$4:$I$51, B16, Backlog!$G$4:$G$51)</f>
        <v>0</v>
      </c>
    </row>
    <row r="17" spans="2:4" x14ac:dyDescent="0.3">
      <c r="B17" t="s">
        <v>17</v>
      </c>
      <c r="C17">
        <f>COUNTIF(Backlog!$I$4:$I$51, B17)</f>
        <v>0</v>
      </c>
      <c r="D17">
        <f>SUMIF(Backlog!$I$4:$I$51, B17, Backlog!$G$4:$G$51)</f>
        <v>0</v>
      </c>
    </row>
    <row r="18" spans="2:4" x14ac:dyDescent="0.3">
      <c r="B18" s="2" t="s">
        <v>18</v>
      </c>
      <c r="C18" s="2">
        <f>SUM(Table4[Totaal aantal])</f>
        <v>0</v>
      </c>
      <c r="D18" s="2">
        <f>SUM(Table4[Aantal SP])</f>
        <v>0</v>
      </c>
    </row>
  </sheetData>
  <mergeCells count="3">
    <mergeCell ref="A1:I1"/>
    <mergeCell ref="C3:D3"/>
    <mergeCell ref="C4:D4"/>
  </mergeCells>
  <hyperlinks>
    <hyperlink ref="C4" r:id="rId1" xr:uid="{A9644FF0-EEE7-4A92-91E6-6082B1C00ADF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3F3E5-4B5F-40F9-A800-013CC5F2EE00}">
  <dimension ref="A1:O54"/>
  <sheetViews>
    <sheetView tabSelected="1" workbookViewId="0">
      <selection activeCell="C10" sqref="C10"/>
    </sheetView>
  </sheetViews>
  <sheetFormatPr defaultRowHeight="14.4" x14ac:dyDescent="0.3"/>
  <cols>
    <col min="1" max="1" width="22.44140625" customWidth="1"/>
    <col min="2" max="2" width="12.5546875" customWidth="1"/>
    <col min="3" max="3" width="107.33203125" customWidth="1"/>
    <col min="4" max="4" width="17.6640625" customWidth="1"/>
    <col min="5" max="5" width="8.21875" customWidth="1"/>
  </cols>
  <sheetData>
    <row r="1" spans="1:15" ht="28.8" x14ac:dyDescent="0.55000000000000004">
      <c r="A1" s="21" t="s">
        <v>19</v>
      </c>
      <c r="B1" s="21"/>
      <c r="C1" s="21"/>
      <c r="D1" s="21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5" customHeight="1" x14ac:dyDescent="0.3">
      <c r="A2" s="25" t="s">
        <v>72</v>
      </c>
      <c r="B2" s="25"/>
      <c r="C2" s="25"/>
      <c r="D2" s="25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5" x14ac:dyDescent="0.3">
      <c r="A3" s="25"/>
      <c r="B3" s="25"/>
      <c r="C3" s="25"/>
      <c r="D3" s="25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3">
      <c r="A4" s="25"/>
      <c r="B4" s="25"/>
      <c r="C4" s="25"/>
      <c r="D4" s="25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3">
      <c r="A5" s="25"/>
      <c r="B5" s="25"/>
      <c r="C5" s="25"/>
      <c r="D5" s="25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3">
      <c r="A6" s="25"/>
      <c r="B6" s="25"/>
      <c r="C6" s="25"/>
      <c r="D6" s="25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3">
      <c r="A7" s="25"/>
      <c r="B7" s="25"/>
      <c r="C7" s="25"/>
      <c r="D7" s="25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3">
      <c r="A8" s="25"/>
      <c r="B8" s="25"/>
      <c r="C8" s="25"/>
      <c r="D8" s="25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3">
      <c r="A9" s="26"/>
      <c r="B9" s="26"/>
      <c r="C9" s="26"/>
      <c r="D9" s="26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3">
      <c r="A10" s="15" t="s">
        <v>20</v>
      </c>
      <c r="B10" s="15" t="s">
        <v>21</v>
      </c>
      <c r="C10" s="15" t="s">
        <v>22</v>
      </c>
      <c r="D10" s="15" t="s">
        <v>23</v>
      </c>
    </row>
    <row r="11" spans="1:15" ht="15" thickBot="1" x14ac:dyDescent="0.35">
      <c r="A11" s="16"/>
      <c r="B11" s="16"/>
      <c r="C11" s="16"/>
      <c r="D11" s="16"/>
    </row>
    <row r="12" spans="1:15" ht="15" thickBot="1" x14ac:dyDescent="0.35">
      <c r="A12" t="s">
        <v>90</v>
      </c>
      <c r="B12" s="37" t="s">
        <v>78</v>
      </c>
      <c r="C12" s="37" t="s">
        <v>84</v>
      </c>
      <c r="D12" s="17" t="s">
        <v>91</v>
      </c>
    </row>
    <row r="13" spans="1:15" ht="15" thickBot="1" x14ac:dyDescent="0.35">
      <c r="A13" t="s">
        <v>92</v>
      </c>
      <c r="B13" s="17" t="s">
        <v>79</v>
      </c>
      <c r="C13" s="20" t="s">
        <v>85</v>
      </c>
      <c r="D13" s="17"/>
    </row>
    <row r="14" spans="1:15" ht="15" thickBot="1" x14ac:dyDescent="0.35">
      <c r="A14" t="s">
        <v>93</v>
      </c>
      <c r="B14" s="37" t="s">
        <v>80</v>
      </c>
      <c r="C14" s="17" t="s">
        <v>86</v>
      </c>
      <c r="D14" s="17"/>
    </row>
    <row r="15" spans="1:15" ht="15" thickBot="1" x14ac:dyDescent="0.35">
      <c r="A15" t="s">
        <v>94</v>
      </c>
      <c r="B15" s="17" t="s">
        <v>81</v>
      </c>
      <c r="C15" t="s">
        <v>87</v>
      </c>
      <c r="D15" s="17"/>
    </row>
    <row r="16" spans="1:15" ht="15" thickBot="1" x14ac:dyDescent="0.35">
      <c r="A16" t="s">
        <v>95</v>
      </c>
      <c r="B16" s="37" t="s">
        <v>82</v>
      </c>
      <c r="C16" t="s">
        <v>88</v>
      </c>
      <c r="D16" s="17"/>
    </row>
    <row r="17" spans="1:4" x14ac:dyDescent="0.3">
      <c r="A17" t="s">
        <v>96</v>
      </c>
      <c r="B17" s="17" t="s">
        <v>83</v>
      </c>
      <c r="C17" s="17" t="s">
        <v>89</v>
      </c>
      <c r="D17" s="17"/>
    </row>
    <row r="18" spans="1:4" x14ac:dyDescent="0.3">
      <c r="A18" t="s">
        <v>99</v>
      </c>
      <c r="B18" s="17" t="s">
        <v>97</v>
      </c>
      <c r="C18" s="38" t="s">
        <v>101</v>
      </c>
      <c r="D18" s="17" t="s">
        <v>103</v>
      </c>
    </row>
    <row r="19" spans="1:4" x14ac:dyDescent="0.3">
      <c r="A19" t="s">
        <v>100</v>
      </c>
      <c r="B19" s="17" t="s">
        <v>98</v>
      </c>
      <c r="C19" s="17" t="s">
        <v>102</v>
      </c>
      <c r="D19" s="17" t="s">
        <v>103</v>
      </c>
    </row>
    <row r="20" spans="1:4" x14ac:dyDescent="0.3">
      <c r="B20" s="17"/>
      <c r="C20" s="17"/>
      <c r="D20" s="17"/>
    </row>
    <row r="21" spans="1:4" x14ac:dyDescent="0.3">
      <c r="B21" s="17"/>
      <c r="C21" s="17"/>
      <c r="D21" s="17"/>
    </row>
    <row r="22" spans="1:4" x14ac:dyDescent="0.3">
      <c r="B22" s="17"/>
      <c r="C22" s="17"/>
      <c r="D22" s="17"/>
    </row>
    <row r="24" spans="1:4" x14ac:dyDescent="0.3">
      <c r="A24" s="16"/>
      <c r="B24" s="16"/>
      <c r="C24" s="16"/>
      <c r="D24" s="16"/>
    </row>
    <row r="25" spans="1:4" x14ac:dyDescent="0.3">
      <c r="B25" s="17"/>
      <c r="C25" s="17"/>
      <c r="D25" s="17"/>
    </row>
    <row r="26" spans="1:4" x14ac:dyDescent="0.3">
      <c r="B26" s="17"/>
      <c r="C26" s="17"/>
      <c r="D26" s="17"/>
    </row>
    <row r="27" spans="1:4" x14ac:dyDescent="0.3">
      <c r="B27" s="17"/>
      <c r="C27" s="17"/>
      <c r="D27" s="17"/>
    </row>
    <row r="28" spans="1:4" x14ac:dyDescent="0.3">
      <c r="B28" s="17"/>
      <c r="C28" s="17"/>
      <c r="D28" s="17"/>
    </row>
    <row r="29" spans="1:4" x14ac:dyDescent="0.3">
      <c r="B29" s="17"/>
      <c r="C29" s="17"/>
      <c r="D29" s="17"/>
    </row>
    <row r="30" spans="1:4" x14ac:dyDescent="0.3">
      <c r="B30" s="17"/>
      <c r="C30" s="18"/>
      <c r="D30" s="18"/>
    </row>
    <row r="31" spans="1:4" x14ac:dyDescent="0.3">
      <c r="B31" s="17"/>
      <c r="C31" s="17"/>
      <c r="D31" s="17"/>
    </row>
    <row r="32" spans="1:4" x14ac:dyDescent="0.3">
      <c r="B32" s="17"/>
      <c r="C32" s="17"/>
      <c r="D32" s="17"/>
    </row>
    <row r="34" spans="1:4" x14ac:dyDescent="0.3">
      <c r="A34" s="16"/>
      <c r="B34" s="16"/>
      <c r="C34" s="16"/>
      <c r="D34" s="16"/>
    </row>
    <row r="35" spans="1:4" x14ac:dyDescent="0.3">
      <c r="B35" s="17"/>
      <c r="C35" s="17"/>
      <c r="D35" s="17"/>
    </row>
    <row r="36" spans="1:4" x14ac:dyDescent="0.3">
      <c r="B36" s="17"/>
      <c r="C36" s="17"/>
      <c r="D36" s="17"/>
    </row>
    <row r="37" spans="1:4" x14ac:dyDescent="0.3">
      <c r="B37" s="17"/>
    </row>
    <row r="38" spans="1:4" x14ac:dyDescent="0.3">
      <c r="B38" s="17"/>
      <c r="C38" s="17"/>
      <c r="D38" s="17"/>
    </row>
    <row r="39" spans="1:4" x14ac:dyDescent="0.3">
      <c r="B39" s="17"/>
      <c r="C39" s="17"/>
      <c r="D39" s="17"/>
    </row>
    <row r="40" spans="1:4" x14ac:dyDescent="0.3">
      <c r="B40" s="17"/>
      <c r="C40" s="17"/>
      <c r="D40" s="17"/>
    </row>
    <row r="41" spans="1:4" x14ac:dyDescent="0.3">
      <c r="B41" s="17"/>
      <c r="C41" s="17"/>
      <c r="D41" s="17"/>
    </row>
    <row r="42" spans="1:4" x14ac:dyDescent="0.3">
      <c r="B42" s="17"/>
      <c r="C42" s="17"/>
      <c r="D42" s="17"/>
    </row>
    <row r="43" spans="1:4" x14ac:dyDescent="0.3">
      <c r="B43" s="17"/>
      <c r="C43" s="17"/>
      <c r="D43" s="17"/>
    </row>
    <row r="44" spans="1:4" x14ac:dyDescent="0.3">
      <c r="B44" s="17"/>
      <c r="C44" s="18"/>
      <c r="D44" s="18"/>
    </row>
    <row r="45" spans="1:4" x14ac:dyDescent="0.3">
      <c r="B45" s="17"/>
      <c r="C45" s="17"/>
      <c r="D45" s="17"/>
    </row>
    <row r="46" spans="1:4" x14ac:dyDescent="0.3">
      <c r="B46" s="17"/>
      <c r="C46" s="17"/>
      <c r="D46" s="17"/>
    </row>
    <row r="47" spans="1:4" x14ac:dyDescent="0.3">
      <c r="B47" s="17"/>
      <c r="C47" s="17"/>
      <c r="D47" s="17"/>
    </row>
    <row r="49" spans="1:4" x14ac:dyDescent="0.3">
      <c r="B49" s="16"/>
      <c r="C49" s="16"/>
      <c r="D49" s="16"/>
    </row>
    <row r="50" spans="1:4" x14ac:dyDescent="0.3">
      <c r="B50" s="17"/>
      <c r="C50" s="17"/>
      <c r="D50" s="17"/>
    </row>
    <row r="51" spans="1:4" x14ac:dyDescent="0.3">
      <c r="B51" s="17"/>
      <c r="C51" s="17"/>
      <c r="D51" s="17"/>
    </row>
    <row r="52" spans="1:4" x14ac:dyDescent="0.3">
      <c r="B52" s="17"/>
      <c r="C52" s="17"/>
      <c r="D52" s="17"/>
    </row>
    <row r="54" spans="1:4" x14ac:dyDescent="0.3">
      <c r="A54" s="16"/>
      <c r="B54" s="16"/>
      <c r="C54" s="16"/>
      <c r="D54" s="16"/>
    </row>
  </sheetData>
  <autoFilter ref="A10:D10" xr:uid="{77B3F3E5-4B5F-40F9-A800-013CC5F2EE00}"/>
  <mergeCells count="2">
    <mergeCell ref="A1:D1"/>
    <mergeCell ref="A2:D9"/>
  </mergeCells>
  <phoneticPr fontId="1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E451-46AC-4478-9EE0-DA5C244416C9}">
  <dimension ref="A1:L10"/>
  <sheetViews>
    <sheetView zoomScale="80" zoomScaleNormal="80" workbookViewId="0">
      <pane ySplit="3" topLeftCell="A4" activePane="bottomLeft" state="frozen"/>
      <selection pane="bottomLeft" activeCell="D13" sqref="D13"/>
    </sheetView>
  </sheetViews>
  <sheetFormatPr defaultColWidth="8.77734375" defaultRowHeight="14.4" x14ac:dyDescent="0.3"/>
  <cols>
    <col min="1" max="1" width="12.109375" customWidth="1"/>
    <col min="2" max="3" width="19.77734375" customWidth="1"/>
    <col min="4" max="4" width="47.109375" customWidth="1"/>
    <col min="5" max="5" width="10" customWidth="1"/>
    <col min="6" max="6" width="16.77734375" customWidth="1"/>
    <col min="7" max="7" width="12.44140625" customWidth="1"/>
    <col min="9" max="9" width="17.21875" customWidth="1"/>
    <col min="10" max="10" width="17.44140625" customWidth="1"/>
  </cols>
  <sheetData>
    <row r="1" spans="1:12" ht="28.8" x14ac:dyDescent="0.55000000000000004">
      <c r="A1" s="21" t="s">
        <v>24</v>
      </c>
      <c r="B1" s="21"/>
      <c r="C1" s="21"/>
      <c r="D1" s="21"/>
      <c r="E1" s="21"/>
      <c r="F1" s="21"/>
      <c r="G1" s="21"/>
      <c r="H1" s="21"/>
      <c r="I1" s="21"/>
      <c r="J1" s="21"/>
    </row>
    <row r="2" spans="1:12" x14ac:dyDescent="0.3">
      <c r="L2" s="2" t="s">
        <v>25</v>
      </c>
    </row>
    <row r="3" spans="1:12" x14ac:dyDescent="0.3">
      <c r="A3" s="1" t="s">
        <v>26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27</v>
      </c>
      <c r="G3" s="1" t="s">
        <v>28</v>
      </c>
      <c r="H3" s="1" t="s">
        <v>29</v>
      </c>
      <c r="I3" s="1" t="s">
        <v>12</v>
      </c>
      <c r="J3" s="1" t="s">
        <v>30</v>
      </c>
      <c r="L3" t="s">
        <v>15</v>
      </c>
    </row>
    <row r="4" spans="1:12" x14ac:dyDescent="0.3">
      <c r="A4" s="3"/>
      <c r="B4" s="3"/>
      <c r="C4" s="3"/>
      <c r="D4" s="3"/>
      <c r="E4" s="3"/>
      <c r="F4" s="3"/>
      <c r="G4" s="3"/>
      <c r="H4" s="3"/>
      <c r="I4" s="3"/>
      <c r="J4" s="3"/>
      <c r="L4" t="s">
        <v>16</v>
      </c>
    </row>
    <row r="5" spans="1:12" x14ac:dyDescent="0.3">
      <c r="L5" t="s">
        <v>17</v>
      </c>
    </row>
    <row r="7" spans="1:12" x14ac:dyDescent="0.3">
      <c r="L7" s="2" t="s">
        <v>31</v>
      </c>
    </row>
    <row r="8" spans="1:12" x14ac:dyDescent="0.3">
      <c r="L8" t="s">
        <v>32</v>
      </c>
    </row>
    <row r="9" spans="1:12" x14ac:dyDescent="0.3">
      <c r="L9" t="s">
        <v>33</v>
      </c>
    </row>
    <row r="10" spans="1:12" x14ac:dyDescent="0.3">
      <c r="L10" t="s">
        <v>34</v>
      </c>
    </row>
  </sheetData>
  <mergeCells count="1">
    <mergeCell ref="A1:J1"/>
  </mergeCells>
  <dataValidations count="2">
    <dataValidation type="list" allowBlank="1" showInputMessage="1" showErrorMessage="1" sqref="I4" xr:uid="{BB889DD1-88CD-4BDB-98A5-3CC9C5D63332}">
      <formula1>$L$3:$L$5</formula1>
    </dataValidation>
    <dataValidation type="list" allowBlank="1" showInputMessage="1" showErrorMessage="1" sqref="E4" xr:uid="{D4954F6E-5C80-4868-8B20-BF00C35F9218}">
      <formula1>$L$8:$L$10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FFDAE-1104-4CD3-91B9-BF5E1B8C8EDE}">
  <dimension ref="A1:J45"/>
  <sheetViews>
    <sheetView zoomScale="60" zoomScaleNormal="60" workbookViewId="0">
      <pane ySplit="1" topLeftCell="A2" activePane="bottomLeft" state="frozen"/>
      <selection pane="bottomLeft" activeCell="B24" sqref="B24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1" t="s">
        <v>35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18" x14ac:dyDescent="0.35">
      <c r="A3" s="7" t="s">
        <v>36</v>
      </c>
      <c r="B3" s="6" t="s">
        <v>37</v>
      </c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29" t="s">
        <v>43</v>
      </c>
      <c r="B11" s="29"/>
      <c r="C11" s="29"/>
      <c r="D11" s="29"/>
      <c r="E11" s="29"/>
      <c r="F11" s="29"/>
      <c r="G11" s="29"/>
      <c r="H11" s="29"/>
      <c r="I11" s="29"/>
      <c r="J11" s="29"/>
    </row>
    <row r="12" spans="1:10" ht="43.5" customHeight="1" x14ac:dyDescent="0.3">
      <c r="A12" s="30" t="s">
        <v>44</v>
      </c>
      <c r="B12" s="30"/>
      <c r="C12" s="30"/>
      <c r="D12" s="30"/>
      <c r="E12" s="30"/>
      <c r="F12" s="30"/>
      <c r="G12" s="30"/>
      <c r="H12" s="30"/>
      <c r="I12" s="30"/>
      <c r="J12" s="30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1" t="s">
        <v>46</v>
      </c>
      <c r="G15" s="31"/>
      <c r="H15" s="31"/>
      <c r="I15" s="31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19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2" t="s">
        <v>54</v>
      </c>
      <c r="C35" s="32"/>
      <c r="D35" s="32"/>
      <c r="E35" s="32"/>
      <c r="F35" s="32"/>
      <c r="G35" s="32"/>
      <c r="H35" s="32"/>
      <c r="I35" s="32"/>
      <c r="J35" s="33"/>
    </row>
    <row r="36" spans="1:10" x14ac:dyDescent="0.3">
      <c r="A36" s="12" t="s">
        <v>55</v>
      </c>
      <c r="B36" s="27"/>
      <c r="C36" s="27"/>
      <c r="D36" s="27"/>
      <c r="E36" s="27"/>
      <c r="F36" s="27"/>
      <c r="G36" s="27"/>
      <c r="H36" s="27"/>
      <c r="I36" s="27"/>
      <c r="J36" s="28"/>
    </row>
    <row r="37" spans="1:10" x14ac:dyDescent="0.3">
      <c r="A37" s="12" t="s">
        <v>56</v>
      </c>
      <c r="B37" s="27"/>
      <c r="C37" s="27"/>
      <c r="D37" s="27"/>
      <c r="E37" s="27"/>
      <c r="F37" s="27"/>
      <c r="G37" s="27"/>
      <c r="H37" s="27"/>
      <c r="I37" s="27"/>
      <c r="J37" s="28"/>
    </row>
    <row r="38" spans="1:10" x14ac:dyDescent="0.3">
      <c r="A38" s="12" t="s">
        <v>57</v>
      </c>
      <c r="B38" s="27"/>
      <c r="C38" s="27"/>
      <c r="D38" s="27"/>
      <c r="E38" s="27"/>
      <c r="F38" s="27"/>
      <c r="G38" s="27"/>
      <c r="H38" s="27"/>
      <c r="I38" s="27"/>
      <c r="J38" s="28"/>
    </row>
    <row r="39" spans="1:10" x14ac:dyDescent="0.3">
      <c r="A39" s="12" t="s">
        <v>58</v>
      </c>
      <c r="B39" s="27"/>
      <c r="C39" s="27"/>
      <c r="D39" s="27"/>
      <c r="E39" s="27"/>
      <c r="F39" s="27"/>
      <c r="G39" s="27"/>
      <c r="H39" s="27"/>
      <c r="I39" s="27"/>
      <c r="J39" s="28"/>
    </row>
    <row r="40" spans="1:10" x14ac:dyDescent="0.3">
      <c r="A40" s="12" t="s">
        <v>59</v>
      </c>
      <c r="B40" s="27"/>
      <c r="C40" s="27"/>
      <c r="D40" s="27"/>
      <c r="E40" s="27"/>
      <c r="F40" s="27"/>
      <c r="G40" s="27"/>
      <c r="H40" s="27"/>
      <c r="I40" s="27"/>
      <c r="J40" s="28"/>
    </row>
    <row r="41" spans="1:10" x14ac:dyDescent="0.3">
      <c r="A41" s="12" t="s">
        <v>60</v>
      </c>
      <c r="B41" s="27"/>
      <c r="C41" s="27"/>
      <c r="D41" s="27"/>
      <c r="E41" s="27"/>
      <c r="F41" s="27"/>
      <c r="G41" s="27"/>
      <c r="H41" s="27"/>
      <c r="I41" s="27"/>
      <c r="J41" s="28"/>
    </row>
    <row r="42" spans="1:10" x14ac:dyDescent="0.3">
      <c r="A42" s="12" t="s">
        <v>61</v>
      </c>
      <c r="B42" s="27"/>
      <c r="C42" s="27"/>
      <c r="D42" s="27"/>
      <c r="E42" s="27"/>
      <c r="F42" s="27"/>
      <c r="G42" s="27"/>
      <c r="H42" s="27"/>
      <c r="I42" s="27"/>
      <c r="J42" s="28"/>
    </row>
    <row r="43" spans="1:10" x14ac:dyDescent="0.3">
      <c r="A43" s="12" t="s">
        <v>62</v>
      </c>
      <c r="B43" s="27"/>
      <c r="C43" s="27"/>
      <c r="D43" s="27"/>
      <c r="E43" s="27"/>
      <c r="F43" s="27"/>
      <c r="G43" s="27"/>
      <c r="H43" s="27"/>
      <c r="I43" s="27"/>
      <c r="J43" s="28"/>
    </row>
    <row r="44" spans="1:10" x14ac:dyDescent="0.3">
      <c r="A44" s="12" t="s">
        <v>63</v>
      </c>
      <c r="B44" s="27"/>
      <c r="C44" s="27"/>
      <c r="D44" s="27"/>
      <c r="E44" s="27"/>
      <c r="F44" s="27"/>
      <c r="G44" s="27"/>
      <c r="H44" s="27"/>
      <c r="I44" s="27"/>
      <c r="J44" s="28"/>
    </row>
    <row r="45" spans="1:10" x14ac:dyDescent="0.3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0E642-EED7-4937-B528-376AB48F1EE7}">
  <dimension ref="A1:J45"/>
  <sheetViews>
    <sheetView zoomScale="80" zoomScaleNormal="80" workbookViewId="0">
      <pane ySplit="1" topLeftCell="A2" activePane="bottomLeft" state="frozen"/>
      <selection pane="bottomLeft" activeCell="A9" sqref="A9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1" t="s">
        <v>65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29" t="s">
        <v>43</v>
      </c>
      <c r="B11" s="29"/>
      <c r="C11" s="29"/>
      <c r="D11" s="29"/>
      <c r="E11" s="29"/>
      <c r="F11" s="29"/>
      <c r="G11" s="29"/>
      <c r="H11" s="29"/>
      <c r="I11" s="29"/>
      <c r="J11" s="29"/>
    </row>
    <row r="12" spans="1:10" ht="43.5" customHeight="1" x14ac:dyDescent="0.3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1" t="s">
        <v>46</v>
      </c>
      <c r="G15" s="31"/>
      <c r="H15" s="31"/>
      <c r="I15" s="31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2" t="s">
        <v>54</v>
      </c>
      <c r="C35" s="32"/>
      <c r="D35" s="32"/>
      <c r="E35" s="32"/>
      <c r="F35" s="32"/>
      <c r="G35" s="32"/>
      <c r="H35" s="32"/>
      <c r="I35" s="32"/>
      <c r="J35" s="33"/>
    </row>
    <row r="36" spans="1:10" x14ac:dyDescent="0.3">
      <c r="A36" s="12" t="s">
        <v>55</v>
      </c>
      <c r="B36" s="27"/>
      <c r="C36" s="27"/>
      <c r="D36" s="27"/>
      <c r="E36" s="27"/>
      <c r="F36" s="27"/>
      <c r="G36" s="27"/>
      <c r="H36" s="27"/>
      <c r="I36" s="27"/>
      <c r="J36" s="28"/>
    </row>
    <row r="37" spans="1:10" x14ac:dyDescent="0.3">
      <c r="A37" s="12" t="s">
        <v>56</v>
      </c>
      <c r="B37" s="27"/>
      <c r="C37" s="27"/>
      <c r="D37" s="27"/>
      <c r="E37" s="27"/>
      <c r="F37" s="27"/>
      <c r="G37" s="27"/>
      <c r="H37" s="27"/>
      <c r="I37" s="27"/>
      <c r="J37" s="28"/>
    </row>
    <row r="38" spans="1:10" x14ac:dyDescent="0.3">
      <c r="A38" s="12" t="s">
        <v>57</v>
      </c>
      <c r="B38" s="27"/>
      <c r="C38" s="27"/>
      <c r="D38" s="27"/>
      <c r="E38" s="27"/>
      <c r="F38" s="27"/>
      <c r="G38" s="27"/>
      <c r="H38" s="27"/>
      <c r="I38" s="27"/>
      <c r="J38" s="28"/>
    </row>
    <row r="39" spans="1:10" x14ac:dyDescent="0.3">
      <c r="A39" s="12" t="s">
        <v>58</v>
      </c>
      <c r="B39" s="27"/>
      <c r="C39" s="27"/>
      <c r="D39" s="27"/>
      <c r="E39" s="27"/>
      <c r="F39" s="27"/>
      <c r="G39" s="27"/>
      <c r="H39" s="27"/>
      <c r="I39" s="27"/>
      <c r="J39" s="28"/>
    </row>
    <row r="40" spans="1:10" x14ac:dyDescent="0.3">
      <c r="A40" s="12" t="s">
        <v>59</v>
      </c>
      <c r="B40" s="27"/>
      <c r="C40" s="27"/>
      <c r="D40" s="27"/>
      <c r="E40" s="27"/>
      <c r="F40" s="27"/>
      <c r="G40" s="27"/>
      <c r="H40" s="27"/>
      <c r="I40" s="27"/>
      <c r="J40" s="28"/>
    </row>
    <row r="41" spans="1:10" x14ac:dyDescent="0.3">
      <c r="A41" s="12" t="s">
        <v>60</v>
      </c>
      <c r="B41" s="27"/>
      <c r="C41" s="27"/>
      <c r="D41" s="27"/>
      <c r="E41" s="27"/>
      <c r="F41" s="27"/>
      <c r="G41" s="27"/>
      <c r="H41" s="27"/>
      <c r="I41" s="27"/>
      <c r="J41" s="28"/>
    </row>
    <row r="42" spans="1:10" x14ac:dyDescent="0.3">
      <c r="A42" s="12" t="s">
        <v>61</v>
      </c>
      <c r="B42" s="27"/>
      <c r="C42" s="27"/>
      <c r="D42" s="27"/>
      <c r="E42" s="27"/>
      <c r="F42" s="27"/>
      <c r="G42" s="27"/>
      <c r="H42" s="27"/>
      <c r="I42" s="27"/>
      <c r="J42" s="28"/>
    </row>
    <row r="43" spans="1:10" x14ac:dyDescent="0.3">
      <c r="A43" s="12" t="s">
        <v>62</v>
      </c>
      <c r="B43" s="27"/>
      <c r="C43" s="27"/>
      <c r="D43" s="27"/>
      <c r="E43" s="27"/>
      <c r="F43" s="27"/>
      <c r="G43" s="27"/>
      <c r="H43" s="27"/>
      <c r="I43" s="27"/>
      <c r="J43" s="28"/>
    </row>
    <row r="44" spans="1:10" x14ac:dyDescent="0.3">
      <c r="A44" s="12" t="s">
        <v>63</v>
      </c>
      <c r="B44" s="27"/>
      <c r="C44" s="27"/>
      <c r="D44" s="27"/>
      <c r="E44" s="27"/>
      <c r="F44" s="27"/>
      <c r="G44" s="27"/>
      <c r="H44" s="27"/>
      <c r="I44" s="27"/>
      <c r="J44" s="28"/>
    </row>
    <row r="45" spans="1:10" x14ac:dyDescent="0.3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36:J36"/>
    <mergeCell ref="F15:I15"/>
    <mergeCell ref="A1:J1"/>
    <mergeCell ref="A12:J12"/>
    <mergeCell ref="A11:J11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6C8E1-C9DA-45BD-B73B-7521063AD367}">
  <dimension ref="A1:J45"/>
  <sheetViews>
    <sheetView workbookViewId="0">
      <pane ySplit="1" topLeftCell="A5" activePane="bottomLeft" state="frozen"/>
      <selection pane="bottomLeft" activeCell="F20" sqref="F20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1" t="s">
        <v>66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29" t="s">
        <v>43</v>
      </c>
      <c r="B11" s="29"/>
      <c r="C11" s="29"/>
      <c r="D11" s="29"/>
      <c r="E11" s="29"/>
      <c r="F11" s="29"/>
      <c r="G11" s="29"/>
      <c r="H11" s="29"/>
      <c r="I11" s="29"/>
      <c r="J11" s="29"/>
    </row>
    <row r="12" spans="1:10" ht="43.5" customHeight="1" x14ac:dyDescent="0.3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1" t="s">
        <v>46</v>
      </c>
      <c r="G15" s="31"/>
      <c r="H15" s="31"/>
      <c r="I15" s="31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2" t="s">
        <v>54</v>
      </c>
      <c r="C35" s="32"/>
      <c r="D35" s="32"/>
      <c r="E35" s="32"/>
      <c r="F35" s="32"/>
      <c r="G35" s="32"/>
      <c r="H35" s="32"/>
      <c r="I35" s="32"/>
      <c r="J35" s="33"/>
    </row>
    <row r="36" spans="1:10" x14ac:dyDescent="0.3">
      <c r="A36" s="12" t="s">
        <v>55</v>
      </c>
      <c r="B36" s="27"/>
      <c r="C36" s="27"/>
      <c r="D36" s="27"/>
      <c r="E36" s="27"/>
      <c r="F36" s="27"/>
      <c r="G36" s="27"/>
      <c r="H36" s="27"/>
      <c r="I36" s="27"/>
      <c r="J36" s="28"/>
    </row>
    <row r="37" spans="1:10" x14ac:dyDescent="0.3">
      <c r="A37" s="12" t="s">
        <v>56</v>
      </c>
      <c r="B37" s="27"/>
      <c r="C37" s="27"/>
      <c r="D37" s="27"/>
      <c r="E37" s="27"/>
      <c r="F37" s="27"/>
      <c r="G37" s="27"/>
      <c r="H37" s="27"/>
      <c r="I37" s="27"/>
      <c r="J37" s="28"/>
    </row>
    <row r="38" spans="1:10" x14ac:dyDescent="0.3">
      <c r="A38" s="12" t="s">
        <v>57</v>
      </c>
      <c r="B38" s="27"/>
      <c r="C38" s="27"/>
      <c r="D38" s="27"/>
      <c r="E38" s="27"/>
      <c r="F38" s="27"/>
      <c r="G38" s="27"/>
      <c r="H38" s="27"/>
      <c r="I38" s="27"/>
      <c r="J38" s="28"/>
    </row>
    <row r="39" spans="1:10" x14ac:dyDescent="0.3">
      <c r="A39" s="12" t="s">
        <v>58</v>
      </c>
      <c r="B39" s="27"/>
      <c r="C39" s="27"/>
      <c r="D39" s="27"/>
      <c r="E39" s="27"/>
      <c r="F39" s="27"/>
      <c r="G39" s="27"/>
      <c r="H39" s="27"/>
      <c r="I39" s="27"/>
      <c r="J39" s="28"/>
    </row>
    <row r="40" spans="1:10" x14ac:dyDescent="0.3">
      <c r="A40" s="12" t="s">
        <v>59</v>
      </c>
      <c r="B40" s="27"/>
      <c r="C40" s="27"/>
      <c r="D40" s="27"/>
      <c r="E40" s="27"/>
      <c r="F40" s="27"/>
      <c r="G40" s="27"/>
      <c r="H40" s="27"/>
      <c r="I40" s="27"/>
      <c r="J40" s="28"/>
    </row>
    <row r="41" spans="1:10" x14ac:dyDescent="0.3">
      <c r="A41" s="12" t="s">
        <v>60</v>
      </c>
      <c r="B41" s="27"/>
      <c r="C41" s="27"/>
      <c r="D41" s="27"/>
      <c r="E41" s="27"/>
      <c r="F41" s="27"/>
      <c r="G41" s="27"/>
      <c r="H41" s="27"/>
      <c r="I41" s="27"/>
      <c r="J41" s="28"/>
    </row>
    <row r="42" spans="1:10" x14ac:dyDescent="0.3">
      <c r="A42" s="12" t="s">
        <v>61</v>
      </c>
      <c r="B42" s="27"/>
      <c r="C42" s="27"/>
      <c r="D42" s="27"/>
      <c r="E42" s="27"/>
      <c r="F42" s="27"/>
      <c r="G42" s="27"/>
      <c r="H42" s="27"/>
      <c r="I42" s="27"/>
      <c r="J42" s="28"/>
    </row>
    <row r="43" spans="1:10" x14ac:dyDescent="0.3">
      <c r="A43" s="12" t="s">
        <v>62</v>
      </c>
      <c r="B43" s="27"/>
      <c r="C43" s="27"/>
      <c r="D43" s="27"/>
      <c r="E43" s="27"/>
      <c r="F43" s="27"/>
      <c r="G43" s="27"/>
      <c r="H43" s="27"/>
      <c r="I43" s="27"/>
      <c r="J43" s="28"/>
    </row>
    <row r="44" spans="1:10" x14ac:dyDescent="0.3">
      <c r="A44" s="12" t="s">
        <v>63</v>
      </c>
      <c r="B44" s="27"/>
      <c r="C44" s="27"/>
      <c r="D44" s="27"/>
      <c r="E44" s="27"/>
      <c r="F44" s="27"/>
      <c r="G44" s="27"/>
      <c r="H44" s="27"/>
      <c r="I44" s="27"/>
      <c r="J44" s="28"/>
    </row>
    <row r="45" spans="1:10" x14ac:dyDescent="0.3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DB97A-7F06-4418-A020-7176AC18CA0E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29" t="s">
        <v>43</v>
      </c>
      <c r="B11" s="29"/>
      <c r="C11" s="29"/>
      <c r="D11" s="29"/>
      <c r="E11" s="29"/>
      <c r="F11" s="29"/>
      <c r="G11" s="29"/>
      <c r="H11" s="29"/>
      <c r="I11" s="29"/>
      <c r="J11" s="29"/>
    </row>
    <row r="12" spans="1:10" ht="43.5" customHeight="1" x14ac:dyDescent="0.3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1" t="s">
        <v>46</v>
      </c>
      <c r="G15" s="31"/>
      <c r="H15" s="31"/>
      <c r="I15" s="31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2" t="s">
        <v>54</v>
      </c>
      <c r="C35" s="32"/>
      <c r="D35" s="32"/>
      <c r="E35" s="32"/>
      <c r="F35" s="32"/>
      <c r="G35" s="32"/>
      <c r="H35" s="32"/>
      <c r="I35" s="32"/>
      <c r="J35" s="33"/>
    </row>
    <row r="36" spans="1:10" x14ac:dyDescent="0.3">
      <c r="A36" s="12" t="s">
        <v>55</v>
      </c>
      <c r="B36" s="27"/>
      <c r="C36" s="27"/>
      <c r="D36" s="27"/>
      <c r="E36" s="27"/>
      <c r="F36" s="27"/>
      <c r="G36" s="27"/>
      <c r="H36" s="27"/>
      <c r="I36" s="27"/>
      <c r="J36" s="28"/>
    </row>
    <row r="37" spans="1:10" x14ac:dyDescent="0.3">
      <c r="A37" s="12" t="s">
        <v>56</v>
      </c>
      <c r="B37" s="27"/>
      <c r="C37" s="27"/>
      <c r="D37" s="27"/>
      <c r="E37" s="27"/>
      <c r="F37" s="27"/>
      <c r="G37" s="27"/>
      <c r="H37" s="27"/>
      <c r="I37" s="27"/>
      <c r="J37" s="28"/>
    </row>
    <row r="38" spans="1:10" x14ac:dyDescent="0.3">
      <c r="A38" s="12" t="s">
        <v>57</v>
      </c>
      <c r="B38" s="27"/>
      <c r="C38" s="27"/>
      <c r="D38" s="27"/>
      <c r="E38" s="27"/>
      <c r="F38" s="27"/>
      <c r="G38" s="27"/>
      <c r="H38" s="27"/>
      <c r="I38" s="27"/>
      <c r="J38" s="28"/>
    </row>
    <row r="39" spans="1:10" x14ac:dyDescent="0.3">
      <c r="A39" s="12" t="s">
        <v>58</v>
      </c>
      <c r="B39" s="27"/>
      <c r="C39" s="27"/>
      <c r="D39" s="27"/>
      <c r="E39" s="27"/>
      <c r="F39" s="27"/>
      <c r="G39" s="27"/>
      <c r="H39" s="27"/>
      <c r="I39" s="27"/>
      <c r="J39" s="28"/>
    </row>
    <row r="40" spans="1:10" x14ac:dyDescent="0.3">
      <c r="A40" s="12" t="s">
        <v>59</v>
      </c>
      <c r="B40" s="27"/>
      <c r="C40" s="27"/>
      <c r="D40" s="27"/>
      <c r="E40" s="27"/>
      <c r="F40" s="27"/>
      <c r="G40" s="27"/>
      <c r="H40" s="27"/>
      <c r="I40" s="27"/>
      <c r="J40" s="28"/>
    </row>
    <row r="41" spans="1:10" x14ac:dyDescent="0.3">
      <c r="A41" s="12" t="s">
        <v>60</v>
      </c>
      <c r="B41" s="27"/>
      <c r="C41" s="27"/>
      <c r="D41" s="27"/>
      <c r="E41" s="27"/>
      <c r="F41" s="27"/>
      <c r="G41" s="27"/>
      <c r="H41" s="27"/>
      <c r="I41" s="27"/>
      <c r="J41" s="28"/>
    </row>
    <row r="42" spans="1:10" x14ac:dyDescent="0.3">
      <c r="A42" s="12" t="s">
        <v>61</v>
      </c>
      <c r="B42" s="27"/>
      <c r="C42" s="27"/>
      <c r="D42" s="27"/>
      <c r="E42" s="27"/>
      <c r="F42" s="27"/>
      <c r="G42" s="27"/>
      <c r="H42" s="27"/>
      <c r="I42" s="27"/>
      <c r="J42" s="28"/>
    </row>
    <row r="43" spans="1:10" x14ac:dyDescent="0.3">
      <c r="A43" s="12" t="s">
        <v>62</v>
      </c>
      <c r="B43" s="27"/>
      <c r="C43" s="27"/>
      <c r="D43" s="27"/>
      <c r="E43" s="27"/>
      <c r="F43" s="27"/>
      <c r="G43" s="27"/>
      <c r="H43" s="27"/>
      <c r="I43" s="27"/>
      <c r="J43" s="28"/>
    </row>
    <row r="44" spans="1:10" x14ac:dyDescent="0.3">
      <c r="A44" s="12" t="s">
        <v>63</v>
      </c>
      <c r="B44" s="27"/>
      <c r="C44" s="27"/>
      <c r="D44" s="27"/>
      <c r="E44" s="27"/>
      <c r="F44" s="27"/>
      <c r="G44" s="27"/>
      <c r="H44" s="27"/>
      <c r="I44" s="27"/>
      <c r="J44" s="28"/>
    </row>
    <row r="45" spans="1:10" x14ac:dyDescent="0.3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95F3-FB80-4F2F-A59F-8F12952B154D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1" t="s">
        <v>68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29" t="s">
        <v>43</v>
      </c>
      <c r="B11" s="29"/>
      <c r="C11" s="29"/>
      <c r="D11" s="29"/>
      <c r="E11" s="29"/>
      <c r="F11" s="29"/>
      <c r="G11" s="29"/>
      <c r="H11" s="29"/>
      <c r="I11" s="29"/>
      <c r="J11" s="29"/>
    </row>
    <row r="12" spans="1:10" ht="43.5" customHeight="1" x14ac:dyDescent="0.3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1" t="s">
        <v>46</v>
      </c>
      <c r="G15" s="31"/>
      <c r="H15" s="31"/>
      <c r="I15" s="31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2" t="s">
        <v>54</v>
      </c>
      <c r="C35" s="32"/>
      <c r="D35" s="32"/>
      <c r="E35" s="32"/>
      <c r="F35" s="32"/>
      <c r="G35" s="32"/>
      <c r="H35" s="32"/>
      <c r="I35" s="32"/>
      <c r="J35" s="33"/>
    </row>
    <row r="36" spans="1:10" x14ac:dyDescent="0.3">
      <c r="A36" s="12" t="s">
        <v>55</v>
      </c>
      <c r="B36" s="27"/>
      <c r="C36" s="27"/>
      <c r="D36" s="27"/>
      <c r="E36" s="27"/>
      <c r="F36" s="27"/>
      <c r="G36" s="27"/>
      <c r="H36" s="27"/>
      <c r="I36" s="27"/>
      <c r="J36" s="28"/>
    </row>
    <row r="37" spans="1:10" x14ac:dyDescent="0.3">
      <c r="A37" s="12" t="s">
        <v>56</v>
      </c>
      <c r="B37" s="27"/>
      <c r="C37" s="27"/>
      <c r="D37" s="27"/>
      <c r="E37" s="27"/>
      <c r="F37" s="27"/>
      <c r="G37" s="27"/>
      <c r="H37" s="27"/>
      <c r="I37" s="27"/>
      <c r="J37" s="28"/>
    </row>
    <row r="38" spans="1:10" x14ac:dyDescent="0.3">
      <c r="A38" s="12" t="s">
        <v>57</v>
      </c>
      <c r="B38" s="27"/>
      <c r="C38" s="27"/>
      <c r="D38" s="27"/>
      <c r="E38" s="27"/>
      <c r="F38" s="27"/>
      <c r="G38" s="27"/>
      <c r="H38" s="27"/>
      <c r="I38" s="27"/>
      <c r="J38" s="28"/>
    </row>
    <row r="39" spans="1:10" x14ac:dyDescent="0.3">
      <c r="A39" s="12" t="s">
        <v>58</v>
      </c>
      <c r="B39" s="27"/>
      <c r="C39" s="27"/>
      <c r="D39" s="27"/>
      <c r="E39" s="27"/>
      <c r="F39" s="27"/>
      <c r="G39" s="27"/>
      <c r="H39" s="27"/>
      <c r="I39" s="27"/>
      <c r="J39" s="28"/>
    </row>
    <row r="40" spans="1:10" x14ac:dyDescent="0.3">
      <c r="A40" s="12" t="s">
        <v>59</v>
      </c>
      <c r="B40" s="27"/>
      <c r="C40" s="27"/>
      <c r="D40" s="27"/>
      <c r="E40" s="27"/>
      <c r="F40" s="27"/>
      <c r="G40" s="27"/>
      <c r="H40" s="27"/>
      <c r="I40" s="27"/>
      <c r="J40" s="28"/>
    </row>
    <row r="41" spans="1:10" x14ac:dyDescent="0.3">
      <c r="A41" s="12" t="s">
        <v>60</v>
      </c>
      <c r="B41" s="27"/>
      <c r="C41" s="27"/>
      <c r="D41" s="27"/>
      <c r="E41" s="27"/>
      <c r="F41" s="27"/>
      <c r="G41" s="27"/>
      <c r="H41" s="27"/>
      <c r="I41" s="27"/>
      <c r="J41" s="28"/>
    </row>
    <row r="42" spans="1:10" x14ac:dyDescent="0.3">
      <c r="A42" s="12" t="s">
        <v>61</v>
      </c>
      <c r="B42" s="27"/>
      <c r="C42" s="27"/>
      <c r="D42" s="27"/>
      <c r="E42" s="27"/>
      <c r="F42" s="27"/>
      <c r="G42" s="27"/>
      <c r="H42" s="27"/>
      <c r="I42" s="27"/>
      <c r="J42" s="28"/>
    </row>
    <row r="43" spans="1:10" x14ac:dyDescent="0.3">
      <c r="A43" s="12" t="s">
        <v>62</v>
      </c>
      <c r="B43" s="27"/>
      <c r="C43" s="27"/>
      <c r="D43" s="27"/>
      <c r="E43" s="27"/>
      <c r="F43" s="27"/>
      <c r="G43" s="27"/>
      <c r="H43" s="27"/>
      <c r="I43" s="27"/>
      <c r="J43" s="28"/>
    </row>
    <row r="44" spans="1:10" x14ac:dyDescent="0.3">
      <c r="A44" s="12" t="s">
        <v>63</v>
      </c>
      <c r="B44" s="27"/>
      <c r="C44" s="27"/>
      <c r="D44" s="27"/>
      <c r="E44" s="27"/>
      <c r="F44" s="27"/>
      <c r="G44" s="27"/>
      <c r="H44" s="27"/>
      <c r="I44" s="27"/>
      <c r="J44" s="28"/>
    </row>
    <row r="45" spans="1:10" x14ac:dyDescent="0.3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9F97-4634-44F8-867B-A15AFCBE9DCC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1" t="s">
        <v>69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29" t="s">
        <v>43</v>
      </c>
      <c r="B11" s="29"/>
      <c r="C11" s="29"/>
      <c r="D11" s="29"/>
      <c r="E11" s="29"/>
      <c r="F11" s="29"/>
      <c r="G11" s="29"/>
      <c r="H11" s="29"/>
      <c r="I11" s="29"/>
      <c r="J11" s="29"/>
    </row>
    <row r="12" spans="1:10" ht="43.5" customHeight="1" x14ac:dyDescent="0.3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1" t="s">
        <v>46</v>
      </c>
      <c r="G15" s="31"/>
      <c r="H15" s="31"/>
      <c r="I15" s="31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2" t="s">
        <v>54</v>
      </c>
      <c r="C35" s="32"/>
      <c r="D35" s="32"/>
      <c r="E35" s="32"/>
      <c r="F35" s="32"/>
      <c r="G35" s="32"/>
      <c r="H35" s="32"/>
      <c r="I35" s="32"/>
      <c r="J35" s="33"/>
    </row>
    <row r="36" spans="1:10" x14ac:dyDescent="0.3">
      <c r="A36" s="12" t="s">
        <v>55</v>
      </c>
      <c r="B36" s="27"/>
      <c r="C36" s="27"/>
      <c r="D36" s="27"/>
      <c r="E36" s="27"/>
      <c r="F36" s="27"/>
      <c r="G36" s="27"/>
      <c r="H36" s="27"/>
      <c r="I36" s="27"/>
      <c r="J36" s="28"/>
    </row>
    <row r="37" spans="1:10" x14ac:dyDescent="0.3">
      <c r="A37" s="12" t="s">
        <v>56</v>
      </c>
      <c r="B37" s="27"/>
      <c r="C37" s="27"/>
      <c r="D37" s="27"/>
      <c r="E37" s="27"/>
      <c r="F37" s="27"/>
      <c r="G37" s="27"/>
      <c r="H37" s="27"/>
      <c r="I37" s="27"/>
      <c r="J37" s="28"/>
    </row>
    <row r="38" spans="1:10" x14ac:dyDescent="0.3">
      <c r="A38" s="12" t="s">
        <v>57</v>
      </c>
      <c r="B38" s="27"/>
      <c r="C38" s="27"/>
      <c r="D38" s="27"/>
      <c r="E38" s="27"/>
      <c r="F38" s="27"/>
      <c r="G38" s="27"/>
      <c r="H38" s="27"/>
      <c r="I38" s="27"/>
      <c r="J38" s="28"/>
    </row>
    <row r="39" spans="1:10" x14ac:dyDescent="0.3">
      <c r="A39" s="12" t="s">
        <v>58</v>
      </c>
      <c r="B39" s="27"/>
      <c r="C39" s="27"/>
      <c r="D39" s="27"/>
      <c r="E39" s="27"/>
      <c r="F39" s="27"/>
      <c r="G39" s="27"/>
      <c r="H39" s="27"/>
      <c r="I39" s="27"/>
      <c r="J39" s="28"/>
    </row>
    <row r="40" spans="1:10" x14ac:dyDescent="0.3">
      <c r="A40" s="12" t="s">
        <v>59</v>
      </c>
      <c r="B40" s="27"/>
      <c r="C40" s="27"/>
      <c r="D40" s="27"/>
      <c r="E40" s="27"/>
      <c r="F40" s="27"/>
      <c r="G40" s="27"/>
      <c r="H40" s="27"/>
      <c r="I40" s="27"/>
      <c r="J40" s="28"/>
    </row>
    <row r="41" spans="1:10" x14ac:dyDescent="0.3">
      <c r="A41" s="12" t="s">
        <v>60</v>
      </c>
      <c r="B41" s="27"/>
      <c r="C41" s="27"/>
      <c r="D41" s="27"/>
      <c r="E41" s="27"/>
      <c r="F41" s="27"/>
      <c r="G41" s="27"/>
      <c r="H41" s="27"/>
      <c r="I41" s="27"/>
      <c r="J41" s="28"/>
    </row>
    <row r="42" spans="1:10" x14ac:dyDescent="0.3">
      <c r="A42" s="12" t="s">
        <v>61</v>
      </c>
      <c r="B42" s="27"/>
      <c r="C42" s="27"/>
      <c r="D42" s="27"/>
      <c r="E42" s="27"/>
      <c r="F42" s="27"/>
      <c r="G42" s="27"/>
      <c r="H42" s="27"/>
      <c r="I42" s="27"/>
      <c r="J42" s="28"/>
    </row>
    <row r="43" spans="1:10" x14ac:dyDescent="0.3">
      <c r="A43" s="12" t="s">
        <v>62</v>
      </c>
      <c r="B43" s="27"/>
      <c r="C43" s="27"/>
      <c r="D43" s="27"/>
      <c r="E43" s="27"/>
      <c r="F43" s="27"/>
      <c r="G43" s="27"/>
      <c r="H43" s="27"/>
      <c r="I43" s="27"/>
      <c r="J43" s="28"/>
    </row>
    <row r="44" spans="1:10" x14ac:dyDescent="0.3">
      <c r="A44" s="12" t="s">
        <v>63</v>
      </c>
      <c r="B44" s="27"/>
      <c r="C44" s="27"/>
      <c r="D44" s="27"/>
      <c r="E44" s="27"/>
      <c r="F44" s="27"/>
      <c r="G44" s="27"/>
      <c r="H44" s="27"/>
      <c r="I44" s="27"/>
      <c r="J44" s="28"/>
    </row>
    <row r="45" spans="1:10" x14ac:dyDescent="0.3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58EE2-CEB6-40C3-BD5E-15CE2075B1EA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1" t="s">
        <v>70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29" t="s">
        <v>43</v>
      </c>
      <c r="B11" s="29"/>
      <c r="C11" s="29"/>
      <c r="D11" s="29"/>
      <c r="E11" s="29"/>
      <c r="F11" s="29"/>
      <c r="G11" s="29"/>
      <c r="H11" s="29"/>
      <c r="I11" s="29"/>
      <c r="J11" s="29"/>
    </row>
    <row r="12" spans="1:10" ht="43.5" customHeight="1" x14ac:dyDescent="0.3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1" t="s">
        <v>46</v>
      </c>
      <c r="G15" s="31"/>
      <c r="H15" s="31"/>
      <c r="I15" s="31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2" t="s">
        <v>54</v>
      </c>
      <c r="C35" s="32"/>
      <c r="D35" s="32"/>
      <c r="E35" s="32"/>
      <c r="F35" s="32"/>
      <c r="G35" s="32"/>
      <c r="H35" s="32"/>
      <c r="I35" s="32"/>
      <c r="J35" s="33"/>
    </row>
    <row r="36" spans="1:10" x14ac:dyDescent="0.3">
      <c r="A36" s="12" t="s">
        <v>55</v>
      </c>
      <c r="B36" s="27"/>
      <c r="C36" s="27"/>
      <c r="D36" s="27"/>
      <c r="E36" s="27"/>
      <c r="F36" s="27"/>
      <c r="G36" s="27"/>
      <c r="H36" s="27"/>
      <c r="I36" s="27"/>
      <c r="J36" s="28"/>
    </row>
    <row r="37" spans="1:10" x14ac:dyDescent="0.3">
      <c r="A37" s="12" t="s">
        <v>56</v>
      </c>
      <c r="B37" s="27"/>
      <c r="C37" s="27"/>
      <c r="D37" s="27"/>
      <c r="E37" s="27"/>
      <c r="F37" s="27"/>
      <c r="G37" s="27"/>
      <c r="H37" s="27"/>
      <c r="I37" s="27"/>
      <c r="J37" s="28"/>
    </row>
    <row r="38" spans="1:10" x14ac:dyDescent="0.3">
      <c r="A38" s="12" t="s">
        <v>57</v>
      </c>
      <c r="B38" s="27"/>
      <c r="C38" s="27"/>
      <c r="D38" s="27"/>
      <c r="E38" s="27"/>
      <c r="F38" s="27"/>
      <c r="G38" s="27"/>
      <c r="H38" s="27"/>
      <c r="I38" s="27"/>
      <c r="J38" s="28"/>
    </row>
    <row r="39" spans="1:10" x14ac:dyDescent="0.3">
      <c r="A39" s="12" t="s">
        <v>58</v>
      </c>
      <c r="B39" s="27"/>
      <c r="C39" s="27"/>
      <c r="D39" s="27"/>
      <c r="E39" s="27"/>
      <c r="F39" s="27"/>
      <c r="G39" s="27"/>
      <c r="H39" s="27"/>
      <c r="I39" s="27"/>
      <c r="J39" s="28"/>
    </row>
    <row r="40" spans="1:10" x14ac:dyDescent="0.3">
      <c r="A40" s="12" t="s">
        <v>59</v>
      </c>
      <c r="B40" s="27"/>
      <c r="C40" s="27"/>
      <c r="D40" s="27"/>
      <c r="E40" s="27"/>
      <c r="F40" s="27"/>
      <c r="G40" s="27"/>
      <c r="H40" s="27"/>
      <c r="I40" s="27"/>
      <c r="J40" s="28"/>
    </row>
    <row r="41" spans="1:10" x14ac:dyDescent="0.3">
      <c r="A41" s="12" t="s">
        <v>60</v>
      </c>
      <c r="B41" s="27"/>
      <c r="C41" s="27"/>
      <c r="D41" s="27"/>
      <c r="E41" s="27"/>
      <c r="F41" s="27"/>
      <c r="G41" s="27"/>
      <c r="H41" s="27"/>
      <c r="I41" s="27"/>
      <c r="J41" s="28"/>
    </row>
    <row r="42" spans="1:10" x14ac:dyDescent="0.3">
      <c r="A42" s="12" t="s">
        <v>61</v>
      </c>
      <c r="B42" s="27"/>
      <c r="C42" s="27"/>
      <c r="D42" s="27"/>
      <c r="E42" s="27"/>
      <c r="F42" s="27"/>
      <c r="G42" s="27"/>
      <c r="H42" s="27"/>
      <c r="I42" s="27"/>
      <c r="J42" s="28"/>
    </row>
    <row r="43" spans="1:10" x14ac:dyDescent="0.3">
      <c r="A43" s="12" t="s">
        <v>62</v>
      </c>
      <c r="B43" s="27"/>
      <c r="C43" s="27"/>
      <c r="D43" s="27"/>
      <c r="E43" s="27"/>
      <c r="F43" s="27"/>
      <c r="G43" s="27"/>
      <c r="H43" s="27"/>
      <c r="I43" s="27"/>
      <c r="J43" s="28"/>
    </row>
    <row r="44" spans="1:10" x14ac:dyDescent="0.3">
      <c r="A44" s="12" t="s">
        <v>63</v>
      </c>
      <c r="B44" s="27"/>
      <c r="C44" s="27"/>
      <c r="D44" s="27"/>
      <c r="E44" s="27"/>
      <c r="F44" s="27"/>
      <c r="G44" s="27"/>
      <c r="H44" s="27"/>
      <c r="I44" s="27"/>
      <c r="J44" s="28"/>
    </row>
    <row r="45" spans="1:10" x14ac:dyDescent="0.3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E31E7-75C9-4B0E-AFCF-74DB9BA81D19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1" t="s">
        <v>71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29" t="s">
        <v>43</v>
      </c>
      <c r="B11" s="29"/>
      <c r="C11" s="29"/>
      <c r="D11" s="29"/>
      <c r="E11" s="29"/>
      <c r="F11" s="29"/>
      <c r="G11" s="29"/>
      <c r="H11" s="29"/>
      <c r="I11" s="29"/>
      <c r="J11" s="29"/>
    </row>
    <row r="12" spans="1:10" ht="43.5" customHeight="1" x14ac:dyDescent="0.3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1" t="s">
        <v>46</v>
      </c>
      <c r="G15" s="31"/>
      <c r="H15" s="31"/>
      <c r="I15" s="31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2" t="s">
        <v>54</v>
      </c>
      <c r="C35" s="32"/>
      <c r="D35" s="32"/>
      <c r="E35" s="32"/>
      <c r="F35" s="32"/>
      <c r="G35" s="32"/>
      <c r="H35" s="32"/>
      <c r="I35" s="32"/>
      <c r="J35" s="33"/>
    </row>
    <row r="36" spans="1:10" x14ac:dyDescent="0.3">
      <c r="A36" s="12" t="s">
        <v>55</v>
      </c>
      <c r="B36" s="27"/>
      <c r="C36" s="27"/>
      <c r="D36" s="27"/>
      <c r="E36" s="27"/>
      <c r="F36" s="27"/>
      <c r="G36" s="27"/>
      <c r="H36" s="27"/>
      <c r="I36" s="27"/>
      <c r="J36" s="28"/>
    </row>
    <row r="37" spans="1:10" x14ac:dyDescent="0.3">
      <c r="A37" s="12" t="s">
        <v>56</v>
      </c>
      <c r="B37" s="27"/>
      <c r="C37" s="27"/>
      <c r="D37" s="27"/>
      <c r="E37" s="27"/>
      <c r="F37" s="27"/>
      <c r="G37" s="27"/>
      <c r="H37" s="27"/>
      <c r="I37" s="27"/>
      <c r="J37" s="28"/>
    </row>
    <row r="38" spans="1:10" x14ac:dyDescent="0.3">
      <c r="A38" s="12" t="s">
        <v>57</v>
      </c>
      <c r="B38" s="27"/>
      <c r="C38" s="27"/>
      <c r="D38" s="27"/>
      <c r="E38" s="27"/>
      <c r="F38" s="27"/>
      <c r="G38" s="27"/>
      <c r="H38" s="27"/>
      <c r="I38" s="27"/>
      <c r="J38" s="28"/>
    </row>
    <row r="39" spans="1:10" x14ac:dyDescent="0.3">
      <c r="A39" s="12" t="s">
        <v>58</v>
      </c>
      <c r="B39" s="27"/>
      <c r="C39" s="27"/>
      <c r="D39" s="27"/>
      <c r="E39" s="27"/>
      <c r="F39" s="27"/>
      <c r="G39" s="27"/>
      <c r="H39" s="27"/>
      <c r="I39" s="27"/>
      <c r="J39" s="28"/>
    </row>
    <row r="40" spans="1:10" x14ac:dyDescent="0.3">
      <c r="A40" s="12" t="s">
        <v>59</v>
      </c>
      <c r="B40" s="27"/>
      <c r="C40" s="27"/>
      <c r="D40" s="27"/>
      <c r="E40" s="27"/>
      <c r="F40" s="27"/>
      <c r="G40" s="27"/>
      <c r="H40" s="27"/>
      <c r="I40" s="27"/>
      <c r="J40" s="28"/>
    </row>
    <row r="41" spans="1:10" x14ac:dyDescent="0.3">
      <c r="A41" s="12" t="s">
        <v>60</v>
      </c>
      <c r="B41" s="27"/>
      <c r="C41" s="27"/>
      <c r="D41" s="27"/>
      <c r="E41" s="27"/>
      <c r="F41" s="27"/>
      <c r="G41" s="27"/>
      <c r="H41" s="27"/>
      <c r="I41" s="27"/>
      <c r="J41" s="28"/>
    </row>
    <row r="42" spans="1:10" x14ac:dyDescent="0.3">
      <c r="A42" s="12" t="s">
        <v>61</v>
      </c>
      <c r="B42" s="27"/>
      <c r="C42" s="27"/>
      <c r="D42" s="27"/>
      <c r="E42" s="27"/>
      <c r="F42" s="27"/>
      <c r="G42" s="27"/>
      <c r="H42" s="27"/>
      <c r="I42" s="27"/>
      <c r="J42" s="28"/>
    </row>
    <row r="43" spans="1:10" x14ac:dyDescent="0.3">
      <c r="A43" s="12" t="s">
        <v>62</v>
      </c>
      <c r="B43" s="27"/>
      <c r="C43" s="27"/>
      <c r="D43" s="27"/>
      <c r="E43" s="27"/>
      <c r="F43" s="27"/>
      <c r="G43" s="27"/>
      <c r="H43" s="27"/>
      <c r="I43" s="27"/>
      <c r="J43" s="28"/>
    </row>
    <row r="44" spans="1:10" x14ac:dyDescent="0.3">
      <c r="A44" s="12" t="s">
        <v>63</v>
      </c>
      <c r="B44" s="27"/>
      <c r="C44" s="27"/>
      <c r="D44" s="27"/>
      <c r="E44" s="27"/>
      <c r="F44" s="27"/>
      <c r="G44" s="27"/>
      <c r="H44" s="27"/>
      <c r="I44" s="27"/>
      <c r="J44" s="28"/>
    </row>
    <row r="45" spans="1:10" x14ac:dyDescent="0.3">
      <c r="A45" s="13" t="s">
        <v>64</v>
      </c>
      <c r="B45" s="34"/>
      <c r="C45" s="34"/>
      <c r="D45" s="34"/>
      <c r="E45" s="34"/>
      <c r="F45" s="34"/>
      <c r="G45" s="34"/>
      <c r="H45" s="34"/>
      <c r="I45" s="34"/>
      <c r="J45" s="35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B83581AE75E3448E2425BE2C4A9358" ma:contentTypeVersion="2" ma:contentTypeDescription="Een nieuw document maken." ma:contentTypeScope="" ma:versionID="3613ffd620ebef032c0b03220f523539">
  <xsd:schema xmlns:xsd="http://www.w3.org/2001/XMLSchema" xmlns:xs="http://www.w3.org/2001/XMLSchema" xmlns:p="http://schemas.microsoft.com/office/2006/metadata/properties" xmlns:ns2="87f001ec-f7b3-49be-8676-481a173a404e" targetNamespace="http://schemas.microsoft.com/office/2006/metadata/properties" ma:root="true" ma:fieldsID="972cec87c5ab16132ba820573bf22a25" ns2:_="">
    <xsd:import namespace="87f001ec-f7b3-49be-8676-481a173a4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f001ec-f7b3-49be-8676-481a173a4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5025CB3-4618-43BF-8CBB-8A6ABF966F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f001ec-f7b3-49be-8676-481a173a4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5AA98B7-DD2A-4000-A348-80CCBB56207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59E2576-8ACA-4472-AE2B-4AF07B9AFF6B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87f001ec-f7b3-49be-8676-481a173a404e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Epic overview</vt:lpstr>
      <vt:lpstr>Backlog</vt:lpstr>
      <vt:lpstr>Sprint 0</vt:lpstr>
      <vt:lpstr>Sprint 1</vt:lpstr>
      <vt:lpstr>Sprint 2</vt:lpstr>
      <vt:lpstr>Sprint 3</vt:lpstr>
      <vt:lpstr>Sprint 4</vt:lpstr>
      <vt:lpstr>Sprint 5</vt:lpstr>
      <vt:lpstr>Sprint 6</vt:lpstr>
      <vt:lpstr>Sprint 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Dries</dc:creator>
  <cp:keywords/>
  <dc:description/>
  <cp:lastModifiedBy>A G</cp:lastModifiedBy>
  <cp:revision/>
  <dcterms:created xsi:type="dcterms:W3CDTF">2022-02-08T18:46:41Z</dcterms:created>
  <dcterms:modified xsi:type="dcterms:W3CDTF">2026-02-05T13:55:03Z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0x0101009EB83581AE75E3448E2425BE2C4A9358</vt:lpwstr>
  </property>
</Properties>
</file>