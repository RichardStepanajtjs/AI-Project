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cr\Documents\AP\2eJ-semester2\AI Project\AI-Project\Docs\"/>
    </mc:Choice>
  </mc:AlternateContent>
  <xr:revisionPtr revIDLastSave="0" documentId="13_ncr:1_{C8800475-A205-4BD5-B353-90BCF1D02C05}" xr6:coauthVersionLast="47" xr6:coauthVersionMax="47" xr10:uidLastSave="{00000000-0000-0000-0000-000000000000}"/>
  <bookViews>
    <workbookView xWindow="-108" yWindow="-108" windowWidth="23256" windowHeight="12456" activeTab="3" xr2:uid="{E07F6153-1B8C-43A7-97BD-457FD435295E}"/>
  </bookViews>
  <sheets>
    <sheet name="Dashboard" sheetId="3" r:id="rId1"/>
    <sheet name="Epic overview" sheetId="11" r:id="rId2"/>
    <sheet name="Backlog" sheetId="1" r:id="rId3"/>
    <sheet name="Sprint 0" sheetId="12" r:id="rId4"/>
    <sheet name="Sprint 1" sheetId="2" r:id="rId5"/>
    <sheet name="Sprint 2" sheetId="4" r:id="rId6"/>
    <sheet name="Sprint 3" sheetId="5" r:id="rId7"/>
    <sheet name="Sprint 4" sheetId="6" r:id="rId8"/>
    <sheet name="Sprint 5" sheetId="7" r:id="rId9"/>
    <sheet name="Sprint 6" sheetId="8" r:id="rId10"/>
    <sheet name="Sprint 7" sheetId="10" r:id="rId11"/>
  </sheets>
  <definedNames>
    <definedName name="_xlnm._FilterDatabase" localSheetId="1" hidden="1">'Epic overview'!$B$10:$D$10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10" i="1"/>
  <c r="F12" i="1"/>
  <c r="F13" i="1"/>
  <c r="F14" i="1"/>
  <c r="F15" i="1"/>
  <c r="F16" i="1"/>
  <c r="F17" i="1"/>
  <c r="F18" i="1"/>
  <c r="F19" i="1"/>
  <c r="F20" i="1"/>
  <c r="I31" i="12"/>
  <c r="H31" i="12"/>
  <c r="D10" i="3" s="1"/>
  <c r="G31" i="12"/>
  <c r="D9" i="3" s="1"/>
  <c r="F31" i="12"/>
  <c r="D15" i="3"/>
  <c r="D16" i="3"/>
  <c r="D17" i="3"/>
  <c r="C16" i="3"/>
  <c r="C17" i="3"/>
  <c r="C15" i="3"/>
  <c r="I31" i="10"/>
  <c r="H31" i="10"/>
  <c r="G31" i="10"/>
  <c r="F31" i="10"/>
  <c r="I31" i="8"/>
  <c r="H31" i="8"/>
  <c r="G31" i="8"/>
  <c r="F31" i="8"/>
  <c r="I31" i="7"/>
  <c r="H31" i="7"/>
  <c r="G31" i="7"/>
  <c r="F31" i="7"/>
  <c r="I31" i="6"/>
  <c r="H31" i="6"/>
  <c r="G31" i="6"/>
  <c r="F31" i="6"/>
  <c r="I31" i="5"/>
  <c r="H31" i="5"/>
  <c r="G31" i="5"/>
  <c r="F31" i="5"/>
  <c r="I31" i="4"/>
  <c r="H31" i="4"/>
  <c r="G31" i="4"/>
  <c r="F31" i="4"/>
  <c r="G31" i="2"/>
  <c r="H31" i="2"/>
  <c r="I31" i="2"/>
  <c r="F31" i="2"/>
  <c r="D8" i="3" l="1"/>
  <c r="D18" i="3"/>
  <c r="C18" i="3"/>
</calcChain>
</file>

<file path=xl/sharedStrings.xml><?xml version="1.0" encoding="utf-8"?>
<sst xmlns="http://schemas.openxmlformats.org/spreadsheetml/2006/main" count="641" uniqueCount="227">
  <si>
    <t>Dashboard</t>
  </si>
  <si>
    <t>Team naam</t>
  </si>
  <si>
    <t>GitHub repo url</t>
  </si>
  <si>
    <t>Overzicht Team</t>
  </si>
  <si>
    <t>Team lid</t>
  </si>
  <si>
    <t>Naam</t>
  </si>
  <si>
    <t>Gewerkt</t>
  </si>
  <si>
    <t>Team lid 1</t>
  </si>
  <si>
    <t>Team lid 2</t>
  </si>
  <si>
    <t>Team lid 3</t>
  </si>
  <si>
    <t>Team lid 4</t>
  </si>
  <si>
    <t>Overzicht backlog</t>
  </si>
  <si>
    <t>Status</t>
  </si>
  <si>
    <t>Totaal aantal</t>
  </si>
  <si>
    <t>Aantal SP</t>
  </si>
  <si>
    <t>Todo</t>
  </si>
  <si>
    <t>In progress</t>
  </si>
  <si>
    <t>Done</t>
  </si>
  <si>
    <t>Totaal</t>
  </si>
  <si>
    <t>Epic overview</t>
  </si>
  <si>
    <t>Domain</t>
  </si>
  <si>
    <t>Epic ID</t>
  </si>
  <si>
    <t>Omschrijving</t>
  </si>
  <si>
    <t>Prioriteit</t>
  </si>
  <si>
    <t>Product Backlog</t>
  </si>
  <si>
    <t>Statussen</t>
  </si>
  <si>
    <t>GH Issue ID</t>
  </si>
  <si>
    <t>Afhankelijkheden</t>
  </si>
  <si>
    <t>Story points</t>
  </si>
  <si>
    <t>Sprint</t>
  </si>
  <si>
    <t>Opmerkingen</t>
  </si>
  <si>
    <t>Prioriteiten</t>
  </si>
  <si>
    <t>High</t>
  </si>
  <si>
    <t>Medium</t>
  </si>
  <si>
    <t>Low</t>
  </si>
  <si>
    <t>Backlog Sprint 0</t>
  </si>
  <si>
    <t>1. Sprint info</t>
  </si>
  <si>
    <t>Setup sprint</t>
  </si>
  <si>
    <t>Start:</t>
  </si>
  <si>
    <t>Einde:</t>
  </si>
  <si>
    <t>Aantal mandagen:</t>
  </si>
  <si>
    <t>Streefgewicht:</t>
  </si>
  <si>
    <t>Gepland gewicht:</t>
  </si>
  <si>
    <t>Sprintdoel</t>
  </si>
  <si>
    <t>Doel van deze sprint is de setup te doen van waaruit het eigenlijke development en configuratiewerk kan gebeuren.</t>
  </si>
  <si>
    <t>2. Sprint backlog</t>
  </si>
  <si>
    <t>Gewerkt aantal uren</t>
  </si>
  <si>
    <t>Verantwoordelijke</t>
  </si>
  <si>
    <t>Teamlid 1</t>
  </si>
  <si>
    <t>Teamlid 2</t>
  </si>
  <si>
    <t>Teamlid 3</t>
  </si>
  <si>
    <t>Teamlid 4</t>
  </si>
  <si>
    <t>3. Bemerkingen Sprint</t>
  </si>
  <si>
    <t>Nr</t>
  </si>
  <si>
    <t>Bemerking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</si>
  <si>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</si>
  <si>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</si>
  <si>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</si>
  <si>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</si>
  <si>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</si>
  <si>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</si>
  <si>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</si>
  <si>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</si>
  <si>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</si>
  <si>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</si>
  <si>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Backlog Sprint 1</t>
  </si>
  <si>
    <t>Backlog Sprint 2</t>
  </si>
  <si>
    <t>Backlog Sprint 3</t>
  </si>
  <si>
    <t>Backlog Sprint 4</t>
  </si>
  <si>
    <t>Backlog Sprint 5</t>
  </si>
  <si>
    <t>Backlog Sprint 6</t>
  </si>
  <si>
    <t>Backlog Sprint 7</t>
  </si>
  <si>
    <r>
      <t xml:space="preserve">In deze template hebben we met Infofarm aangegeven </t>
    </r>
    <r>
      <rPr>
        <b/>
        <sz val="8"/>
        <color rgb="FF222222"/>
        <rFont val="Century Gothic"/>
      </rPr>
      <t xml:space="preserve">welke features we opgeleverd verwachten aan het einde van dit project. 
</t>
    </r>
    <r>
      <rPr>
        <sz val="8"/>
        <color rgb="FF222222"/>
        <rFont val="Century Gothic"/>
      </rPr>
      <t xml:space="preserve">
Omdat we beseffen dat inschattingen steeds onzeker zijn hebben we deze opgesplitst in drie verschillende prioriteiten. 
</t>
    </r>
    <r>
      <rPr>
        <b/>
        <sz val="8"/>
        <color rgb="FF222222"/>
        <rFont val="Century Gothic"/>
      </rPr>
      <t>MH</t>
    </r>
    <r>
      <rPr>
        <sz val="8"/>
        <color rgb="FF222222"/>
        <rFont val="Century Gothic"/>
      </rPr>
      <t xml:space="preserve"> - Must Haves: Deze features behoren tot de MVP en horen dus absoluut in de opgeleverde scope te zitten aan het einde van het traject. 
</t>
    </r>
    <r>
      <rPr>
        <b/>
        <sz val="8"/>
        <color rgb="FF222222"/>
        <rFont val="Century Gothic"/>
      </rPr>
      <t>SH</t>
    </r>
    <r>
      <rPr>
        <sz val="8"/>
        <color rgb="FF222222"/>
        <rFont val="Century Gothic"/>
      </rPr>
      <t xml:space="preserve"> - Should Haves: Deze features zouden we er zeer graag bij hebben, ook al beseffen dat deze niet absoluut noodzakelijk zijn voor onze MVP. 
</t>
    </r>
    <r>
      <rPr>
        <b/>
        <sz val="8"/>
        <color rgb="FF222222"/>
        <rFont val="Century Gothic"/>
      </rPr>
      <t>CH</t>
    </r>
    <r>
      <rPr>
        <sz val="8"/>
        <color rgb="FF222222"/>
        <rFont val="Century Gothic"/>
      </rPr>
      <t xml:space="preserve"> - Could Haves: Mochten jullie één of meerdere van deze features kunnen opleveren, zou je ons &amp; onze klanten zeer blij maken!
De bedoeling is dat jullie hier zorgen dat de epics worden aangevuld met userstories, tasks &amp; eventueel extra epics. 
De informatie daarvoor kunnen jullie uit jullie blueprints halen. 
Al deze epics &amp; userstories worden voor aanvang van </t>
    </r>
    <r>
      <rPr>
        <b/>
        <sz val="8"/>
        <color rgb="FF222222"/>
        <rFont val="Century Gothic"/>
      </rPr>
      <t xml:space="preserve">sprint 1 </t>
    </r>
    <r>
      <rPr>
        <sz val="8"/>
        <color rgb="FF222222"/>
        <rFont val="Century Gothic"/>
      </rPr>
      <t xml:space="preserve">gedocumenteerd in jullie </t>
    </r>
    <r>
      <rPr>
        <b/>
        <sz val="8"/>
        <color rgb="FF222222"/>
        <rFont val="Century Gothic"/>
      </rPr>
      <t xml:space="preserve">Github project!
</t>
    </r>
  </si>
  <si>
    <t>https://github.com/RichardStepanajtjs/AI-Project</t>
  </si>
  <si>
    <t>Soufiane Koujil</t>
  </si>
  <si>
    <t>Angeles Osier</t>
  </si>
  <si>
    <t>Richard Stepanajtjs</t>
  </si>
  <si>
    <t>REQ-F01</t>
  </si>
  <si>
    <t>REQ-F02</t>
  </si>
  <si>
    <t>REQ-F03</t>
  </si>
  <si>
    <t>REQ-F04</t>
  </si>
  <si>
    <t>REQ-F05</t>
  </si>
  <si>
    <t>REQ-F06</t>
  </si>
  <si>
    <t>MH</t>
  </si>
  <si>
    <t>CRM-integratie</t>
  </si>
  <si>
    <t>REQ-NF02</t>
  </si>
  <si>
    <t>Cloudplatform</t>
  </si>
  <si>
    <t>Gebruiksvriendelijke interface</t>
  </si>
  <si>
    <t>CH</t>
  </si>
  <si>
    <t>Gebruikersbeheer &amp; Authenticatie</t>
  </si>
  <si>
    <t>Prospectielijsten beheer</t>
  </si>
  <si>
    <t>REQ-F07</t>
  </si>
  <si>
    <t>REQ-NF04</t>
  </si>
  <si>
    <t>Feedback beheer</t>
  </si>
  <si>
    <t>Rapporten beheer</t>
  </si>
  <si>
    <t>REQ-F08</t>
  </si>
  <si>
    <t>SH</t>
  </si>
  <si>
    <t>GH-01</t>
  </si>
  <si>
    <t>Database opstellen</t>
  </si>
  <si>
    <t>Cloud Omgeving inrichten</t>
  </si>
  <si>
    <t>Als developer wil ik een schaalbare cloud-omgeving inrichting, zodat de web app overal ter wereld bereikbaar is via het internet.</t>
  </si>
  <si>
    <t>Secrets &amp; Environment Variables</t>
  </si>
  <si>
    <t>Als security specialist wil ik dat gevoelige gegevens veilig worden opgeslagen in een environment variables, zodat deze niet zichtbaar zijn in de broncode.</t>
  </si>
  <si>
    <t>Gegevens ophalen</t>
  </si>
  <si>
    <t>Als developer wil ik database-schema's automatisch worden bijgewerkt tijdens de deployment, zodat de data-structuur altijd in sync is met de applicatiecode.</t>
  </si>
  <si>
    <t>Containerisatie met Docker</t>
  </si>
  <si>
    <t>Zoeken en filteren</t>
  </si>
  <si>
    <t>Als gebruiker wil ik zoekresultaten kunnen filteren op relevante tags, zodat ik gerichte prospectielijsten krijg.</t>
  </si>
  <si>
    <t>Bedrijfsprofiel zoeken</t>
  </si>
  <si>
    <t>Lijst filteren</t>
  </si>
  <si>
    <t>Inloggen</t>
  </si>
  <si>
    <t>Account creatie</t>
  </si>
  <si>
    <t>Als beheerder wil ik een account maken zodat een gebruiker het kan gebruiken.</t>
  </si>
  <si>
    <t>Rollen toewijzen</t>
  </si>
  <si>
    <t>Als beheerder wil ik een rol toewijzen zodat de gebruiker bepaalde rechten heeft.</t>
  </si>
  <si>
    <t>Als gebruiker wil ik dat mijn persoonlijke inloggegevens gehashed wordt zodat het veilig opgeslaan is.</t>
  </si>
  <si>
    <t>Als gebruiker wil ik mijn prospectielijsten opslaan zodat ik later het kan bekijken.</t>
  </si>
  <si>
    <t>Als gebruiker wil ik mijn prospectielijsten bewerken zodat ik het kan aanpassen.</t>
  </si>
  <si>
    <t>Setup development</t>
  </si>
  <si>
    <t>Als gebruiker wil ik mijn prospectielijsten verwijderen zodat het verdwijnt.</t>
  </si>
  <si>
    <t>Prospectielijst opslaan</t>
  </si>
  <si>
    <t>Prospectielijst bewerken</t>
  </si>
  <si>
    <t>Prospectielijst verwijderen</t>
  </si>
  <si>
    <t>Model (her)training</t>
  </si>
  <si>
    <t>Hertraining model</t>
  </si>
  <si>
    <t>Als beheerder wil ik een versiebeheer van mijn model zodat ik een ander versie kan gebruiken.</t>
  </si>
  <si>
    <t>Model versiebeheer</t>
  </si>
  <si>
    <t>Als data engineer wil ik dat ik data kan verwerken zodat de performantie van het model beter wordt.</t>
  </si>
  <si>
    <t>Data engineering</t>
  </si>
  <si>
    <t>Scrum planning opzetten</t>
  </si>
  <si>
    <t>Als developer wil ik een duidelijke scrum planning zodat ik efficiënt kan werken.</t>
  </si>
  <si>
    <t>Github repository opzetten</t>
  </si>
  <si>
    <t>Blue print bespreking</t>
  </si>
  <si>
    <t>Als developer wil ik een versiebeheer zodat ik het kan delen met mijn mededevelopers.</t>
  </si>
  <si>
    <t>Als developer wil ik een vaste blue print zodat er geen verwarring gebeurt.</t>
  </si>
  <si>
    <t>Github planning</t>
  </si>
  <si>
    <t>Als developer wil ik een Scrumboard zodat ik een overzicht heb van alle taken.</t>
  </si>
  <si>
    <t>Als gebruiker wil ik leidraad zodat ik weet hoe alles werkt.</t>
  </si>
  <si>
    <t>Hulp interface</t>
  </si>
  <si>
    <t>Als gebruiker wil ik een mooi en eenvoudig interface zodat ik eenvoudig kan navigeren.</t>
  </si>
  <si>
    <t>Front-end</t>
  </si>
  <si>
    <t>Handleiding</t>
  </si>
  <si>
    <t>REQ-NF03</t>
  </si>
  <si>
    <t>REQ-NF01</t>
  </si>
  <si>
    <t>Formulier beheer</t>
  </si>
  <si>
    <t>Formulier opslaan</t>
  </si>
  <si>
    <t>Als gebruiker wil ik mijn formuliers opslaan zodat ik later terug kan hergebruiken.</t>
  </si>
  <si>
    <t>AI model toepassing</t>
  </si>
  <si>
    <t>REQ-F09</t>
  </si>
  <si>
    <t>Prestatie overzicht</t>
  </si>
  <si>
    <t>Als beheerder wil ik rapporten kunnen bekijken over systeemgebruik zodat ik weet hoe goed mijn model presteert.</t>
  </si>
  <si>
    <t>Feedback overzicht</t>
  </si>
  <si>
    <t>Als beheerder wil ik de feedback van gebruikers zien zodat ik weet of gebruikers tevreden zijn van de resultaten.</t>
  </si>
  <si>
    <t>Model feedback verwerken</t>
  </si>
  <si>
    <t>Als gebruiker wil ik feedback geven bij de prospects zodat het model persoonlijk op mij afgestemt is.</t>
  </si>
  <si>
    <t>Ranking</t>
  </si>
  <si>
    <t>Voyage API integratie</t>
  </si>
  <si>
    <t>Als developer wil ik dat data omgezet wordt in embeddings zodat het model de data kan verwerken.</t>
  </si>
  <si>
    <t>Als developer wil ik dat er een algoritme is voor rankings zodat de resultaten gerangschikt worden.</t>
  </si>
  <si>
    <t>Database Update (bedrijven)</t>
  </si>
  <si>
    <t>Database Update (vacatures)</t>
  </si>
  <si>
    <t>Als developer wil ik de web applicatie verpakken in een Docker-container zodat de applicatie consistent functioneert in elke omgeving en we geen last hebben van verschillen in lokale serverconfiguraties.</t>
  </si>
  <si>
    <t>Richard</t>
  </si>
  <si>
    <t>Development omgeving</t>
  </si>
  <si>
    <t>Als developer wil ik een development omgeving zodat we vaste versie werken.</t>
  </si>
  <si>
    <t>Soufiane</t>
  </si>
  <si>
    <t>Angeles</t>
  </si>
  <si>
    <t>Soufiane, Richard &amp; Angeles</t>
  </si>
  <si>
    <t>S O K R A T E S</t>
  </si>
  <si>
    <t>NONE</t>
  </si>
  <si>
    <t>Inloggegevens hash</t>
  </si>
  <si>
    <t>GH-02</t>
  </si>
  <si>
    <t>GH-03</t>
  </si>
  <si>
    <t>GH-04</t>
  </si>
  <si>
    <t>GH-05</t>
  </si>
  <si>
    <t>GH-06</t>
  </si>
  <si>
    <t>GH-07</t>
  </si>
  <si>
    <t>GH-08</t>
  </si>
  <si>
    <t>GH-09</t>
  </si>
  <si>
    <t>GH-10</t>
  </si>
  <si>
    <t>GH-11</t>
  </si>
  <si>
    <t>GH-12</t>
  </si>
  <si>
    <t>GH-13</t>
  </si>
  <si>
    <t>GH-14</t>
  </si>
  <si>
    <t>GH-15</t>
  </si>
  <si>
    <t>GH-16</t>
  </si>
  <si>
    <t>GH-17</t>
  </si>
  <si>
    <t>GH-18</t>
  </si>
  <si>
    <t>GH-19</t>
  </si>
  <si>
    <t>GH-20</t>
  </si>
  <si>
    <t>GH-21</t>
  </si>
  <si>
    <t>GH-22</t>
  </si>
  <si>
    <t>GH-23</t>
  </si>
  <si>
    <t>GH-24</t>
  </si>
  <si>
    <t>GH-25</t>
  </si>
  <si>
    <t>GH-26</t>
  </si>
  <si>
    <t>GH-27</t>
  </si>
  <si>
    <t>GH-28</t>
  </si>
  <si>
    <t>GH-29</t>
  </si>
  <si>
    <t>GH-30</t>
  </si>
  <si>
    <t>GH-31</t>
  </si>
  <si>
    <t>GH-32</t>
  </si>
  <si>
    <t>GH-33</t>
  </si>
  <si>
    <t>GH-4, GH-5,  GH-24 &amp; GH-34</t>
  </si>
  <si>
    <t>GH-29 &amp; GH-30</t>
  </si>
  <si>
    <t>2 lessen + 2 meetings</t>
  </si>
  <si>
    <t>Als salesmedewerker wil ik dat mijn prospectielijsten permanent worden opgeslagen, zodat ik mijn werk kan hervatten zonder gegevens te verliezen.</t>
  </si>
  <si>
    <t>Als gebruiker wil ik bedrijven kunnen zoeken zodat ik snel een bedrijfsprofiel kan vinden.</t>
  </si>
  <si>
    <t>Als gebruiker wil ik veilig kunnen inloggen met mijn credentials zodat alleen ik toegang heb tot mijn data.</t>
  </si>
  <si>
    <t>Als beheerder wil ik het AI model kunnen bijwerken met nieuwe data zodat de voorspellingen relevant blijven.</t>
  </si>
  <si>
    <t>Als nieuwe gebruiker wil ik toegang tot een handleiding zodat ik zelfstandig kan starten zonder hulp.</t>
  </si>
  <si>
    <t>Product &amp; klant formulier</t>
  </si>
  <si>
    <t>Als gebruiker wil ik een formulier invullen over mijn product of ideale werkgever zodat ik een gepersonaliseerde prospectielijst ontvang.</t>
  </si>
  <si>
    <t>Functionaliteit om binnen de applicatie gericht te zoeken en data te filteren op relevante criteria.</t>
  </si>
  <si>
    <t>Het automatisch ophalen en synchroniseren van data uit de benodigde gegevensbronnen.</t>
  </si>
  <si>
    <t>Veilige toegang via login en het beheren van gebruikersrollen en bijbehorende rechten.</t>
  </si>
  <si>
    <t>Koppeling met een CRM-systeem voor een naadloze uitwisseling van prospectgegevens.</t>
  </si>
  <si>
    <t>Het volledig beheren (aanmaken, inzien, bewerken en verwijderen) van lijsten met prospecten.</t>
  </si>
  <si>
    <t>Het initieel trainen van het model op bedrijfsdata en het periodiek hertrainen voor optimale prestaties en zodat het up to date is.</t>
  </si>
  <si>
    <t>Hosting en configuratie van de volledige applicatie binnen een cloudomgeving.</t>
  </si>
  <si>
    <t>Inrichten van de ontwikkelinfrastructuur, inclusief versiebeheer en deployment-pipelines.</t>
  </si>
  <si>
    <t>Implementatie van een AI-algoritme om prospecten automatisch te scoren en te rangschikken.</t>
  </si>
  <si>
    <t>Een intuïtief UI-design en een heldere handleiding voor een optimale gebruikerservaring.</t>
  </si>
  <si>
    <t>Gebruik van gestandaardiseerde formulieren om consistente data-invoer te waarborgen.</t>
  </si>
  <si>
    <t>Genereren van periodieke rapportages en overzichten over de resultaten en modelprestaties.</t>
  </si>
  <si>
    <t>Mogelijkheid voor gebruikers om feedback te geven op modeloutput ter verbetering van de accuratesse.</t>
  </si>
  <si>
    <t>Optioneel? We hebben hiervoor geen userstories.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</si>
</sst>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1"/>
      <color rgb="FF8A1A17"/>
      <name val="Calibri"/>
      <family val="2"/>
      <scheme val="minor"/>
    </font>
    <font>
      <sz val="8"/>
      <color rgb="FF222222"/>
      <name val="Century Gothic"/>
    </font>
    <font>
      <b/>
      <sz val="8"/>
      <color rgb="FF222222"/>
      <name val="Century Gothic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A1A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D7D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1" fillId="2" borderId="0" xfId="0" applyFont="1" applyFill="1" applyAlignment="1">
      <alignment wrapText="1"/>
    </xf>
    <xf numFmtId="0" fontId="0" fillId="0" borderId="5" xfId="0" applyBorder="1"/>
    <xf numFmtId="0" fontId="5" fillId="0" borderId="5" xfId="0" applyFont="1" applyBorder="1"/>
    <xf numFmtId="0" fontId="2" fillId="0" borderId="6" xfId="0" applyFont="1" applyBorder="1"/>
    <xf numFmtId="0" fontId="6" fillId="0" borderId="6" xfId="0" applyFont="1" applyBorder="1"/>
    <xf numFmtId="0" fontId="0" fillId="3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vertical="top" wrapText="1"/>
    </xf>
    <xf numFmtId="0" fontId="1" fillId="2" borderId="14" xfId="0" applyFont="1" applyFill="1" applyBorder="1"/>
    <xf numFmtId="0" fontId="0" fillId="4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vertical="center" wrapText="1"/>
    </xf>
    <xf numFmtId="0" fontId="0" fillId="0" borderId="19" xfId="0" applyBorder="1"/>
    <xf numFmtId="14" fontId="0" fillId="3" borderId="6" xfId="0" applyNumberFormat="1" applyFill="1" applyBorder="1" applyAlignment="1">
      <alignment horizontal="center"/>
    </xf>
    <xf numFmtId="0" fontId="0" fillId="0" borderId="2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vertical="center" wrapText="1"/>
    </xf>
    <xf numFmtId="0" fontId="0" fillId="0" borderId="18" xfId="0" applyBorder="1"/>
    <xf numFmtId="0" fontId="0" fillId="0" borderId="21" xfId="0" applyBorder="1" applyAlignment="1">
      <alignment vertical="center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0" fillId="0" borderId="0" xfId="0"/>
    <xf numFmtId="0" fontId="0" fillId="0" borderId="11" xfId="0" applyBorder="1"/>
    <xf numFmtId="0" fontId="1" fillId="2" borderId="0" xfId="0" applyFont="1" applyFill="1"/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0" fillId="0" borderId="5" xfId="0" applyBorder="1"/>
    <xf numFmtId="0" fontId="0" fillId="0" borderId="13" xfId="0" applyBorder="1"/>
  </cellXfs>
  <cellStyles count="2">
    <cellStyle name="Hyperlink" xfId="1" builtinId="8"/>
    <cellStyle name="Normal" xfId="0" builtinId="0"/>
  </cellStyles>
  <dxfs count="1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8A1A17"/>
        </patternFill>
      </fill>
    </dxf>
  </dxfs>
  <tableStyles count="0" defaultTableStyle="TableStyleMedium2" defaultPivotStyle="PivotStyleLight16"/>
  <colors>
    <mruColors>
      <color rgb="FFFF4343"/>
      <color rgb="FFE0D7D7"/>
      <color rgb="FF8A1A17"/>
      <color rgb="FF970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82689C-D0AA-4F4B-919B-87E3028818E8}" name="Table4" displayName="Table4" ref="B14:D17" totalsRowShown="0" headerRowDxfId="110">
  <autoFilter ref="B14:D17" xr:uid="{AA82689C-D0AA-4F4B-919B-87E3028818E8}"/>
  <tableColumns count="3">
    <tableColumn id="1" xr3:uid="{5275A149-D9C7-4765-8593-A42F0BE5A234}" name="Status"/>
    <tableColumn id="2" xr3:uid="{5D1A658E-6171-4853-98CD-6AB729C001BE}" name="Totaal aantal" dataDxfId="109">
      <calculatedColumnFormula>COUNTIF(Backlog!$I$4:$I$52, B15)</calculatedColumnFormula>
    </tableColumn>
    <tableColumn id="3" xr3:uid="{8E35AA80-EB15-4700-9B95-52F62AF6B801}" name="Aantal SP" dataDxfId="108">
      <calculatedColumnFormula>SUMIF(Backlog!$I$4:$I$52, B15, Backlog!$G$4:$G$52)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1D63E-5C3E-42E3-BE92-09D26924F40D}" name="Table1" displayName="Table1" ref="A3:J36" totalsRowShown="0" headerRowDxfId="107" dataDxfId="106">
  <autoFilter ref="A3:J36" xr:uid="{0C31D63E-5C3E-42E3-BE92-09D26924F40D}"/>
  <sortState xmlns:xlrd2="http://schemas.microsoft.com/office/spreadsheetml/2017/richdata2" ref="A4:J36">
    <sortCondition ref="A3:A36"/>
  </sortState>
  <tableColumns count="10">
    <tableColumn id="1" xr3:uid="{86C438A9-95F7-480B-8605-663A6D33F9E8}" name="GH Issue ID" dataDxfId="105"/>
    <tableColumn id="2" xr3:uid="{A67F3775-FD76-4B45-9318-AEB1E2DDB617}" name="Naam" dataDxfId="104"/>
    <tableColumn id="10" xr3:uid="{D71A8556-082B-4B32-B6BE-5BE60F40C14A}" name="Epic ID" dataDxfId="103"/>
    <tableColumn id="3" xr3:uid="{C10F2FCC-7C0D-4C38-B585-FDBE69D8CB6A}" name="Omschrijving" dataDxfId="102"/>
    <tableColumn id="4" xr3:uid="{B10BE454-0779-4408-827E-18CAFA3FA6F4}" name="Prioriteit" dataDxfId="101"/>
    <tableColumn id="5" xr3:uid="{9DD6B241-13CA-4C6A-B38D-F66ABDFB4D1F}" name="Afhankelijkheden" dataDxfId="100">
      <calculatedColumnFormula>A3</calculatedColumnFormula>
    </tableColumn>
    <tableColumn id="6" xr3:uid="{3917555F-8AC1-4D61-A1D1-AD989DECCDD8}" name="Story points" dataDxfId="99"/>
    <tableColumn id="7" xr3:uid="{59A344ED-FCCF-4D1D-863D-3BC0B67970BA}" name="Sprint" dataDxfId="98"/>
    <tableColumn id="8" xr3:uid="{7FB5F6F2-7561-43E7-940F-616623FD98C9}" name="Status" dataDxfId="97"/>
    <tableColumn id="9" xr3:uid="{FC693D5F-36C5-47E3-8471-4017AADBBDA4}" name="Opmerkingen" dataDxfId="9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136A71-E192-4E59-A0AE-01ABAE9AAE69}" name="Table24" displayName="Table24" ref="A16:J31" totalsRowShown="0" headerRowDxfId="95" dataDxfId="94">
  <autoFilter ref="A16:J31" xr:uid="{198F3B95-5438-449A-BDFC-00DF23AD9062}"/>
  <tableColumns count="10">
    <tableColumn id="1" xr3:uid="{B6DA48E4-0853-43F9-B086-D26EC7805D63}" name="GH Issue ID" dataDxfId="93"/>
    <tableColumn id="2" xr3:uid="{5DC050A8-DE64-48A1-9BF4-0100253F944D}" name="Naam" dataDxfId="92"/>
    <tableColumn id="3" xr3:uid="{93B5ABB2-6352-407E-B740-DEE4C236A365}" name="Story points" dataDxfId="91"/>
    <tableColumn id="4" xr3:uid="{83737B22-1A2C-4ECD-AB68-C84ADFC31F9D}" name="Verantwoordelijke" dataDxfId="90"/>
    <tableColumn id="9" xr3:uid="{C2D27EC1-9AEA-461C-8838-FB8067C71AD3}" name="Status" dataDxfId="89"/>
    <tableColumn id="5" xr3:uid="{38A7A10A-1E3A-479E-A257-DAC80E43CA2A}" name="Teamlid 1" dataDxfId="88"/>
    <tableColumn id="6" xr3:uid="{7988C9D8-34D5-4507-856A-289019DF8FE2}" name="Teamlid 2" dataDxfId="87"/>
    <tableColumn id="7" xr3:uid="{9793915D-606D-4025-898A-3F783720CDC8}" name="Teamlid 3" dataDxfId="86"/>
    <tableColumn id="8" xr3:uid="{0BA8E6A4-A2A9-47C8-8F9D-A066E55C6517}" name="Teamlid 4" dataDxfId="85"/>
    <tableColumn id="10" xr3:uid="{EBE9CA32-642A-466B-85A2-B9A6CE61FD8F}" name="Opmerkingen" dataDxfId="8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8F3B95-5438-449A-BDFC-00DF23AD9062}" name="Table2" displayName="Table2" ref="A16:J31" totalsRowShown="0" headerRowDxfId="83" dataDxfId="82">
  <autoFilter ref="A16:J31" xr:uid="{198F3B95-5438-449A-BDFC-00DF23AD9062}"/>
  <tableColumns count="10">
    <tableColumn id="1" xr3:uid="{C9D092C8-DF0C-41AE-9A9F-5957EA787EFA}" name="GH Issue ID" dataDxfId="81"/>
    <tableColumn id="2" xr3:uid="{C5721FD3-090C-4D56-9ACB-3697D4EDA10A}" name="Naam" dataDxfId="80"/>
    <tableColumn id="3" xr3:uid="{8A37EA2E-3776-4DCB-A3D1-A9343CEBA628}" name="Story points" dataDxfId="79"/>
    <tableColumn id="4" xr3:uid="{B5EEB923-2F99-4C7C-AD97-5669CF76C276}" name="Verantwoordelijke" dataDxfId="78"/>
    <tableColumn id="9" xr3:uid="{25F23FF8-DC69-4416-8E59-49F3A223C3D8}" name="Status" dataDxfId="77"/>
    <tableColumn id="5" xr3:uid="{EAAD0A99-D2D1-42BB-81FB-8AF31743CAEA}" name="Teamlid 1" dataDxfId="76"/>
    <tableColumn id="6" xr3:uid="{55687A22-E147-4769-A951-CF602C170BA4}" name="Teamlid 2" dataDxfId="75"/>
    <tableColumn id="7" xr3:uid="{F8166508-ACCD-4E9E-83BA-561D6186C251}" name="Teamlid 3" dataDxfId="74"/>
    <tableColumn id="8" xr3:uid="{8EADC057-5EC1-4B0E-94F0-1D219CB2E30A}" name="Teamlid 4" dataDxfId="73"/>
    <tableColumn id="10" xr3:uid="{C8A8C3EF-AA3B-428D-B2E3-1853773624A6}" name="Opmerkingen" dataDxfId="7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C9040B-4936-442D-85EA-A47F1C9DE65E}" name="Table27" displayName="Table27" ref="A16:J31" totalsRowShown="0" headerRowDxfId="71" dataDxfId="70">
  <autoFilter ref="A16:J31" xr:uid="{198F3B95-5438-449A-BDFC-00DF23AD9062}"/>
  <tableColumns count="10">
    <tableColumn id="1" xr3:uid="{8916CFA5-54A5-42F4-B89B-B0612857B9CE}" name="GH Issue ID" dataDxfId="69"/>
    <tableColumn id="2" xr3:uid="{0DBEA3BE-D0E2-4D62-9923-066AC1CF6ACB}" name="Naam" dataDxfId="68"/>
    <tableColumn id="3" xr3:uid="{2F7CF326-084D-48D9-AC46-3504270DEADD}" name="Story points" dataDxfId="67"/>
    <tableColumn id="4" xr3:uid="{A6BBF7CE-67F0-4A27-99E7-483A522B0518}" name="Verantwoordelijke" dataDxfId="66"/>
    <tableColumn id="9" xr3:uid="{7AC07B42-A8C4-4077-A8C5-24C3CE3F2F6A}" name="Status" dataDxfId="65"/>
    <tableColumn id="5" xr3:uid="{A9725AE1-FC98-441B-8F0D-264CAF70B2C5}" name="Teamlid 1" dataDxfId="64"/>
    <tableColumn id="6" xr3:uid="{BA18A645-2446-43D8-AEFE-4544C8D1A835}" name="Teamlid 2" dataDxfId="63"/>
    <tableColumn id="7" xr3:uid="{E333262D-2C5D-4F38-ABC1-A97AD1AE5650}" name="Teamlid 3" dataDxfId="62"/>
    <tableColumn id="8" xr3:uid="{33585DD2-D5FA-40A4-9AFD-ED260F809A45}" name="Teamlid 4" dataDxfId="61"/>
    <tableColumn id="10" xr3:uid="{0BF8D939-F40C-4D0D-8C54-66131D51676C}" name="Opmerkingen" dataDxfId="6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FE61FA-5E06-4308-84F2-6A71F826A2CB}" name="Table278" displayName="Table278" ref="A16:J31" totalsRowShown="0" headerRowDxfId="59" dataDxfId="58">
  <autoFilter ref="A16:J31" xr:uid="{198F3B95-5438-449A-BDFC-00DF23AD9062}"/>
  <tableColumns count="10">
    <tableColumn id="1" xr3:uid="{ECCF15EC-370A-4A23-A8B3-DE00A0BA910C}" name="GH Issue ID" dataDxfId="57"/>
    <tableColumn id="2" xr3:uid="{710EDF6C-C94D-49D8-8450-2D316F643685}" name="Naam" dataDxfId="56"/>
    <tableColumn id="3" xr3:uid="{99CCE717-B8F5-4C65-B7E5-B11EE1178CBB}" name="Story points" dataDxfId="55"/>
    <tableColumn id="4" xr3:uid="{13841C70-F1DE-468D-AF08-91CF711A2FA8}" name="Verantwoordelijke" dataDxfId="54"/>
    <tableColumn id="9" xr3:uid="{D97DDEBE-A3AA-4687-8A3C-75FD99AFA69B}" name="Status" dataDxfId="53"/>
    <tableColumn id="5" xr3:uid="{89BAD886-2B58-47A8-9AB2-0A2BF64D5E05}" name="Teamlid 1" dataDxfId="52"/>
    <tableColumn id="6" xr3:uid="{63D57D67-51F4-451D-B03C-EC8E77E2D2A3}" name="Teamlid 2" dataDxfId="51"/>
    <tableColumn id="7" xr3:uid="{8A7BBF2B-7ACC-4CF1-86BE-39E8AA3927DD}" name="Teamlid 3" dataDxfId="50"/>
    <tableColumn id="8" xr3:uid="{6F17A48E-B667-4F21-A278-5A93B0276BBF}" name="Teamlid 4" dataDxfId="49"/>
    <tableColumn id="10" xr3:uid="{96D8F2BC-463B-42FD-92FB-C88CE96EC27B}" name="Opmerkingen" dataDxfId="4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1F9950-A300-4FC4-8042-878DBA07BAEB}" name="Table2789" displayName="Table2789" ref="A16:J31" totalsRowShown="0" headerRowDxfId="47" dataDxfId="46">
  <autoFilter ref="A16:J31" xr:uid="{198F3B95-5438-449A-BDFC-00DF23AD9062}"/>
  <tableColumns count="10">
    <tableColumn id="1" xr3:uid="{29FDC4C7-01ED-4B65-B7E4-986D36F37FE7}" name="GH Issue ID" dataDxfId="45"/>
    <tableColumn id="2" xr3:uid="{4142CFA4-C685-4374-A3A1-302D4A52AB02}" name="Naam" dataDxfId="44"/>
    <tableColumn id="3" xr3:uid="{127F64D4-0C21-41B0-977D-7DECC73ABC81}" name="Story points" dataDxfId="43"/>
    <tableColumn id="4" xr3:uid="{D8394C22-A6D9-454D-8F8C-25598EDFB53F}" name="Verantwoordelijke" dataDxfId="42"/>
    <tableColumn id="9" xr3:uid="{F4DDA50E-025D-4C0C-A1FD-987D64A50E7F}" name="Status" dataDxfId="41"/>
    <tableColumn id="5" xr3:uid="{4E0E50BF-17A6-446C-873E-4A578DF00414}" name="Teamlid 1" dataDxfId="40"/>
    <tableColumn id="6" xr3:uid="{F1C0BB29-5E1A-4A98-84AC-B87F1D75EE27}" name="Teamlid 2" dataDxfId="39"/>
    <tableColumn id="7" xr3:uid="{6B6D8022-012E-4272-A2BF-61F054BE8935}" name="Teamlid 3" dataDxfId="38"/>
    <tableColumn id="8" xr3:uid="{65DA05D7-2999-4855-8EEC-FF0F409AE9C9}" name="Teamlid 4" dataDxfId="37"/>
    <tableColumn id="10" xr3:uid="{C5C5A4E7-E90F-455C-B43F-D7FD5D2D68D9}" name="Opmerkingen" dataDxfId="36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AF6B1A-F1D7-4DF4-A491-7B58938427DD}" name="Table278910" displayName="Table278910" ref="A16:J31" totalsRowShown="0" headerRowDxfId="35" dataDxfId="34">
  <autoFilter ref="A16:J31" xr:uid="{198F3B95-5438-449A-BDFC-00DF23AD9062}"/>
  <tableColumns count="10">
    <tableColumn id="1" xr3:uid="{EE975054-A57E-4D0D-90A1-8E725F3F3074}" name="GH Issue ID" dataDxfId="33"/>
    <tableColumn id="2" xr3:uid="{0C8F423B-F884-4277-A47A-89095EEEBE2B}" name="Naam" dataDxfId="32"/>
    <tableColumn id="3" xr3:uid="{F503BACC-D3AA-4CD0-AB78-C288EA932F9F}" name="Story points" dataDxfId="31"/>
    <tableColumn id="4" xr3:uid="{D1ACEE8F-58B5-4EBB-AEC9-372AB0CB60BC}" name="Verantwoordelijke" dataDxfId="30"/>
    <tableColumn id="9" xr3:uid="{9395E20C-F3BB-4A8C-9CAB-BAA621965553}" name="Status" dataDxfId="29"/>
    <tableColumn id="5" xr3:uid="{151BE4BC-69EA-4049-8656-B32022B90D05}" name="Teamlid 1" dataDxfId="28"/>
    <tableColumn id="6" xr3:uid="{04B6F6E4-0EE8-4AB9-8334-CDF961B6728F}" name="Teamlid 2" dataDxfId="27"/>
    <tableColumn id="7" xr3:uid="{CA5CBFAD-A008-4C9A-80B3-DF772767053E}" name="Teamlid 3" dataDxfId="26"/>
    <tableColumn id="8" xr3:uid="{F2C90162-8D73-4A5B-8FCC-DBDF4A5C0D92}" name="Teamlid 4" dataDxfId="25"/>
    <tableColumn id="10" xr3:uid="{0DED0096-FC49-4F27-BA60-C37EC36DF615}" name="Opmerkingen" dataDxfId="24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D66498-26B0-41D1-9481-24C10689A9AD}" name="Table27891011" displayName="Table27891011" ref="A16:J31" totalsRowShown="0" headerRowDxfId="23" dataDxfId="22">
  <autoFilter ref="A16:J31" xr:uid="{198F3B95-5438-449A-BDFC-00DF23AD9062}"/>
  <tableColumns count="10">
    <tableColumn id="1" xr3:uid="{B521FFE7-4C63-4BB4-9129-44090DE5A213}" name="GH Issue ID" dataDxfId="21"/>
    <tableColumn id="2" xr3:uid="{18B91A2E-2E46-46C9-903F-D09E26557EA2}" name="Naam" dataDxfId="20"/>
    <tableColumn id="3" xr3:uid="{D32295CD-1979-480C-A04C-6E142033E375}" name="Story points" dataDxfId="19"/>
    <tableColumn id="4" xr3:uid="{25E968EF-41A7-4B0D-B2EC-9C23D3B1CC39}" name="Verantwoordelijke" dataDxfId="18"/>
    <tableColumn id="9" xr3:uid="{E0FCE262-00D8-40A7-8121-8D15978B3FC7}" name="Status" dataDxfId="17"/>
    <tableColumn id="5" xr3:uid="{3F9C790A-528C-4202-80B4-54873DA40E53}" name="Teamlid 1" dataDxfId="16"/>
    <tableColumn id="6" xr3:uid="{A2407A9E-5D0E-4E25-B95D-9FE26E44458A}" name="Teamlid 2" dataDxfId="15"/>
    <tableColumn id="7" xr3:uid="{7667DB09-8CBC-4FBC-951C-2CAB10DC6766}" name="Teamlid 3" dataDxfId="14"/>
    <tableColumn id="8" xr3:uid="{87FA53ED-76BC-43BD-BFB9-9E699AFAC43F}" name="Teamlid 4" dataDxfId="13"/>
    <tableColumn id="10" xr3:uid="{64076762-98B1-41D1-8654-5E068FAB1FE6}" name="Opmerkingen" dataDxfId="1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0103EE-0C6F-4D22-BD5C-26F3E55EF072}" name="Table2789101112" displayName="Table2789101112" ref="A16:J31" totalsRowShown="0" headerRowDxfId="11" dataDxfId="10">
  <autoFilter ref="A16:J31" xr:uid="{198F3B95-5438-449A-BDFC-00DF23AD9062}"/>
  <tableColumns count="10">
    <tableColumn id="1" xr3:uid="{86CBE3EF-BEC2-4EA9-B00F-CF098FE0613D}" name="GH Issue ID" dataDxfId="9"/>
    <tableColumn id="2" xr3:uid="{B43FED28-8247-4649-99BD-8E320F57C72C}" name="Naam" dataDxfId="8"/>
    <tableColumn id="3" xr3:uid="{DDAFEF96-3EB1-495B-A49D-A8DABA90CEFF}" name="Story points" dataDxfId="7"/>
    <tableColumn id="4" xr3:uid="{1B3B2923-F121-4DF9-BD4C-347C7743D1C1}" name="Verantwoordelijke" dataDxfId="6"/>
    <tableColumn id="9" xr3:uid="{11342D9D-A111-439C-B2E2-8B6278089C05}" name="Status" dataDxfId="5"/>
    <tableColumn id="5" xr3:uid="{A1D66187-BDA1-44BF-BC4D-CEA8F8E7F368}" name="Teamlid 1" dataDxfId="4"/>
    <tableColumn id="6" xr3:uid="{393AA309-3CE3-414E-98F8-880F51B3981A}" name="Teamlid 2" dataDxfId="3"/>
    <tableColumn id="7" xr3:uid="{6CDCC270-4FE9-4EB5-B097-92C96DF82816}" name="Teamlid 3" dataDxfId="2"/>
    <tableColumn id="8" xr3:uid="{91AF5E67-835B-4564-AE5A-983CE3C69379}" name="Teamlid 4" dataDxfId="1"/>
    <tableColumn id="10" xr3:uid="{B686E766-F61E-452D-A999-8C27E87BA3CE}" name="Opmerkinge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RichardStepanajtjs/AI-Proje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5DA5-9F86-4F5C-B1E1-90B69129D774}">
  <dimension ref="A1:I18"/>
  <sheetViews>
    <sheetView zoomScale="159" zoomScaleNormal="115" workbookViewId="0">
      <pane ySplit="1" topLeftCell="A2" activePane="bottomLeft" state="frozen"/>
      <selection pane="bottomLeft" activeCell="F15" sqref="F15"/>
    </sheetView>
  </sheetViews>
  <sheetFormatPr defaultColWidth="8.77734375" defaultRowHeight="14.4" x14ac:dyDescent="0.3"/>
  <cols>
    <col min="1" max="1" width="4.109375" customWidth="1"/>
    <col min="2" max="2" width="16" bestFit="1" customWidth="1"/>
    <col min="3" max="3" width="24" customWidth="1"/>
    <col min="4" max="4" width="17.77734375" customWidth="1"/>
  </cols>
  <sheetData>
    <row r="1" spans="1:9" ht="28.8" x14ac:dyDescent="0.55000000000000004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5" thickBot="1" x14ac:dyDescent="0.35"/>
    <row r="3" spans="1:9" ht="15" thickBot="1" x14ac:dyDescent="0.35">
      <c r="B3" s="2" t="s">
        <v>1</v>
      </c>
      <c r="C3" s="32" t="s">
        <v>168</v>
      </c>
      <c r="D3" s="33"/>
    </row>
    <row r="4" spans="1:9" ht="15" thickBot="1" x14ac:dyDescent="0.35">
      <c r="B4" s="2" t="s">
        <v>2</v>
      </c>
      <c r="C4" s="34" t="s">
        <v>73</v>
      </c>
      <c r="D4" s="35"/>
    </row>
    <row r="6" spans="1:9" x14ac:dyDescent="0.3">
      <c r="B6" s="2" t="s">
        <v>3</v>
      </c>
    </row>
    <row r="7" spans="1:9" x14ac:dyDescent="0.3">
      <c r="B7" s="4" t="s">
        <v>4</v>
      </c>
      <c r="C7" s="4" t="s">
        <v>5</v>
      </c>
      <c r="D7" s="4" t="s">
        <v>6</v>
      </c>
    </row>
    <row r="8" spans="1:9" x14ac:dyDescent="0.3">
      <c r="B8" s="2" t="s">
        <v>7</v>
      </c>
      <c r="C8" t="s">
        <v>74</v>
      </c>
      <c r="D8">
        <f>'Sprint 0'!F31+'Sprint 1'!F31+'Sprint 2'!F31+'Sprint 3'!F31+'Sprint 4'!F31+'Sprint 5'!F31+'Sprint 6'!F31+'Sprint 7'!F31</f>
        <v>15.5</v>
      </c>
    </row>
    <row r="9" spans="1:9" x14ac:dyDescent="0.3">
      <c r="B9" s="2" t="s">
        <v>8</v>
      </c>
      <c r="C9" t="s">
        <v>75</v>
      </c>
      <c r="D9">
        <f>'Sprint 0'!G31+'Sprint 1'!G31+'Sprint 2'!G31+'Sprint 3'!G31+'Sprint 4'!G31+'Sprint 5'!G31+'Sprint 6'!G31+'Sprint 7'!G31</f>
        <v>14.5</v>
      </c>
    </row>
    <row r="10" spans="1:9" x14ac:dyDescent="0.3">
      <c r="B10" s="2" t="s">
        <v>9</v>
      </c>
      <c r="C10" t="s">
        <v>76</v>
      </c>
      <c r="D10">
        <f>'Sprint 0'!H31+'Sprint 1'!H31+'Sprint 2'!H31+'Sprint 3'!H31+'Sprint 4'!H31+'Sprint 5'!H31+'Sprint 6'!H31+'Sprint 7'!H31</f>
        <v>17.5</v>
      </c>
    </row>
    <row r="11" spans="1:9" x14ac:dyDescent="0.3">
      <c r="B11" s="2" t="s">
        <v>10</v>
      </c>
    </row>
    <row r="13" spans="1:9" x14ac:dyDescent="0.3">
      <c r="B13" s="2" t="s">
        <v>11</v>
      </c>
    </row>
    <row r="14" spans="1:9" x14ac:dyDescent="0.3">
      <c r="B14" s="1" t="s">
        <v>12</v>
      </c>
      <c r="C14" s="1" t="s">
        <v>13</v>
      </c>
      <c r="D14" s="1" t="s">
        <v>14</v>
      </c>
    </row>
    <row r="15" spans="1:9" x14ac:dyDescent="0.3">
      <c r="B15" t="s">
        <v>15</v>
      </c>
      <c r="C15">
        <f>COUNTIF(Backlog!$I$4:$I$52, B15)</f>
        <v>29</v>
      </c>
      <c r="D15">
        <f>SUMIF(Backlog!$I$4:$I$52, B15, Backlog!$G$4:$G$52)</f>
        <v>172</v>
      </c>
    </row>
    <row r="16" spans="1:9" x14ac:dyDescent="0.3">
      <c r="B16" t="s">
        <v>16</v>
      </c>
      <c r="C16">
        <f>COUNTIF(Backlog!$I$4:$I$52, B16)</f>
        <v>2</v>
      </c>
      <c r="D16">
        <f>SUMIF(Backlog!$I$4:$I$52, B16, Backlog!$G$4:$G$52)</f>
        <v>11</v>
      </c>
    </row>
    <row r="17" spans="2:4" x14ac:dyDescent="0.3">
      <c r="B17" t="s">
        <v>17</v>
      </c>
      <c r="C17">
        <f>COUNTIF(Backlog!$I$4:$I$52, B17)</f>
        <v>2</v>
      </c>
      <c r="D17">
        <f>SUMIF(Backlog!$I$4:$I$52, B17, Backlog!$G$4:$G$52)</f>
        <v>1.5</v>
      </c>
    </row>
    <row r="18" spans="2:4" x14ac:dyDescent="0.3">
      <c r="B18" s="2" t="s">
        <v>18</v>
      </c>
      <c r="C18" s="2">
        <f>SUM(Table4[Totaal aantal])</f>
        <v>33</v>
      </c>
      <c r="D18" s="2">
        <f>SUM(Table4[Aantal SP])</f>
        <v>184.5</v>
      </c>
    </row>
  </sheetData>
  <mergeCells count="3">
    <mergeCell ref="A1:I1"/>
    <mergeCell ref="C3:D3"/>
    <mergeCell ref="C4:D4"/>
  </mergeCells>
  <hyperlinks>
    <hyperlink ref="C4" r:id="rId1" xr:uid="{A9644FF0-EEE7-4A92-91E6-6082B1C00AD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F3E5-4B5F-40F9-A800-013CC5F2EE00}">
  <dimension ref="A1:O55"/>
  <sheetViews>
    <sheetView topLeftCell="A17" workbookViewId="0">
      <selection activeCell="E16" sqref="E16"/>
    </sheetView>
  </sheetViews>
  <sheetFormatPr defaultRowHeight="14.4" x14ac:dyDescent="0.3"/>
  <cols>
    <col min="1" max="1" width="29" customWidth="1"/>
    <col min="2" max="2" width="12.5546875" customWidth="1"/>
    <col min="3" max="3" width="107.33203125" customWidth="1"/>
    <col min="4" max="4" width="17.6640625" customWidth="1"/>
    <col min="5" max="5" width="41.77734375" customWidth="1"/>
  </cols>
  <sheetData>
    <row r="1" spans="1:15" ht="28.8" x14ac:dyDescent="0.55000000000000004">
      <c r="A1" s="31" t="s">
        <v>19</v>
      </c>
      <c r="B1" s="31"/>
      <c r="C1" s="31"/>
      <c r="D1" s="31"/>
      <c r="E1" s="31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 customHeight="1" x14ac:dyDescent="0.3">
      <c r="A2" s="36" t="s">
        <v>72</v>
      </c>
      <c r="B2" s="36"/>
      <c r="C2" s="36"/>
      <c r="D2" s="36"/>
      <c r="E2" s="36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36"/>
      <c r="B3" s="36"/>
      <c r="C3" s="36"/>
      <c r="D3" s="36"/>
      <c r="E3" s="36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36"/>
      <c r="B4" s="36"/>
      <c r="C4" s="36"/>
      <c r="D4" s="36"/>
      <c r="E4" s="36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36"/>
      <c r="B5" s="36"/>
      <c r="C5" s="36"/>
      <c r="D5" s="36"/>
      <c r="E5" s="36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36"/>
      <c r="B6" s="36"/>
      <c r="C6" s="36"/>
      <c r="D6" s="36"/>
      <c r="E6" s="36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36"/>
      <c r="B7" s="36"/>
      <c r="C7" s="36"/>
      <c r="D7" s="36"/>
      <c r="E7" s="36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36"/>
      <c r="B8" s="36"/>
      <c r="C8" s="36"/>
      <c r="D8" s="36"/>
      <c r="E8" s="36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37"/>
      <c r="B9" s="37"/>
      <c r="C9" s="37"/>
      <c r="D9" s="37"/>
      <c r="E9" s="37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5" t="s">
        <v>20</v>
      </c>
      <c r="B10" s="15" t="s">
        <v>21</v>
      </c>
      <c r="C10" s="15" t="s">
        <v>22</v>
      </c>
      <c r="D10" s="15" t="s">
        <v>23</v>
      </c>
      <c r="E10" s="15" t="s">
        <v>30</v>
      </c>
    </row>
    <row r="11" spans="1:15" ht="15" thickBot="1" x14ac:dyDescent="0.35">
      <c r="A11" s="16"/>
      <c r="B11" s="16"/>
      <c r="C11" s="16"/>
      <c r="D11" s="16"/>
    </row>
    <row r="12" spans="1:15" ht="15" thickBot="1" x14ac:dyDescent="0.35">
      <c r="A12" t="s">
        <v>106</v>
      </c>
      <c r="B12" s="19" t="s">
        <v>77</v>
      </c>
      <c r="C12" t="s">
        <v>213</v>
      </c>
      <c r="D12" s="17" t="s">
        <v>83</v>
      </c>
    </row>
    <row r="13" spans="1:15" ht="15" thickBot="1" x14ac:dyDescent="0.35">
      <c r="A13" t="s">
        <v>103</v>
      </c>
      <c r="B13" s="19" t="s">
        <v>78</v>
      </c>
      <c r="C13" s="17" t="s">
        <v>214</v>
      </c>
      <c r="D13" s="17" t="s">
        <v>83</v>
      </c>
    </row>
    <row r="14" spans="1:15" ht="15" thickBot="1" x14ac:dyDescent="0.35">
      <c r="A14" t="s">
        <v>89</v>
      </c>
      <c r="B14" s="19" t="s">
        <v>79</v>
      </c>
      <c r="C14" t="s">
        <v>215</v>
      </c>
      <c r="D14" s="17" t="s">
        <v>83</v>
      </c>
    </row>
    <row r="15" spans="1:15" ht="15" thickBot="1" x14ac:dyDescent="0.35">
      <c r="A15" t="s">
        <v>84</v>
      </c>
      <c r="B15" s="19" t="s">
        <v>80</v>
      </c>
      <c r="C15" t="s">
        <v>216</v>
      </c>
      <c r="D15" s="17" t="s">
        <v>88</v>
      </c>
      <c r="E15" t="s">
        <v>226</v>
      </c>
    </row>
    <row r="16" spans="1:15" ht="15" thickBot="1" x14ac:dyDescent="0.35">
      <c r="A16" t="s">
        <v>90</v>
      </c>
      <c r="B16" s="19" t="s">
        <v>81</v>
      </c>
      <c r="C16" s="20" t="s">
        <v>217</v>
      </c>
      <c r="D16" s="17" t="s">
        <v>83</v>
      </c>
    </row>
    <row r="17" spans="1:5" ht="15" thickBot="1" x14ac:dyDescent="0.35">
      <c r="A17" t="s">
        <v>123</v>
      </c>
      <c r="B17" s="19" t="s">
        <v>82</v>
      </c>
      <c r="C17" s="17" t="s">
        <v>218</v>
      </c>
      <c r="D17" s="17" t="s">
        <v>83</v>
      </c>
    </row>
    <row r="18" spans="1:5" ht="15" thickBot="1" x14ac:dyDescent="0.35">
      <c r="A18" t="s">
        <v>86</v>
      </c>
      <c r="B18" s="19" t="s">
        <v>91</v>
      </c>
      <c r="C18" s="17" t="s">
        <v>219</v>
      </c>
      <c r="D18" s="17" t="s">
        <v>83</v>
      </c>
      <c r="E18" s="20"/>
    </row>
    <row r="19" spans="1:5" ht="15" thickBot="1" x14ac:dyDescent="0.35">
      <c r="A19" t="s">
        <v>118</v>
      </c>
      <c r="B19" s="19" t="s">
        <v>95</v>
      </c>
      <c r="C19" s="18" t="s">
        <v>220</v>
      </c>
      <c r="D19" s="18" t="s">
        <v>83</v>
      </c>
    </row>
    <row r="20" spans="1:5" x14ac:dyDescent="0.3">
      <c r="A20" t="s">
        <v>147</v>
      </c>
      <c r="B20" s="27" t="s">
        <v>148</v>
      </c>
      <c r="C20" s="17" t="s">
        <v>221</v>
      </c>
      <c r="D20" s="17" t="s">
        <v>83</v>
      </c>
      <c r="E20" s="20"/>
    </row>
    <row r="21" spans="1:5" x14ac:dyDescent="0.3">
      <c r="A21" t="s">
        <v>87</v>
      </c>
      <c r="B21" s="17" t="s">
        <v>143</v>
      </c>
      <c r="C21" s="17" t="s">
        <v>222</v>
      </c>
      <c r="D21" s="17" t="s">
        <v>96</v>
      </c>
      <c r="E21" s="20"/>
    </row>
    <row r="22" spans="1:5" x14ac:dyDescent="0.3">
      <c r="A22" t="s">
        <v>144</v>
      </c>
      <c r="B22" s="17" t="s">
        <v>85</v>
      </c>
      <c r="C22" s="20" t="s">
        <v>223</v>
      </c>
      <c r="D22" s="18" t="s">
        <v>83</v>
      </c>
      <c r="E22" s="20"/>
    </row>
    <row r="23" spans="1:5" ht="15" thickBot="1" x14ac:dyDescent="0.35">
      <c r="A23" t="s">
        <v>94</v>
      </c>
      <c r="B23" s="17" t="s">
        <v>142</v>
      </c>
      <c r="C23" t="s">
        <v>224</v>
      </c>
      <c r="D23" t="s">
        <v>88</v>
      </c>
    </row>
    <row r="24" spans="1:5" ht="15" thickBot="1" x14ac:dyDescent="0.35">
      <c r="A24" t="s">
        <v>93</v>
      </c>
      <c r="B24" s="28" t="s">
        <v>92</v>
      </c>
      <c r="C24" t="s">
        <v>225</v>
      </c>
      <c r="D24" t="s">
        <v>88</v>
      </c>
    </row>
    <row r="25" spans="1:5" x14ac:dyDescent="0.3">
      <c r="A25" s="16"/>
      <c r="B25" s="16"/>
      <c r="C25" s="16"/>
      <c r="D25" s="16"/>
    </row>
    <row r="26" spans="1:5" x14ac:dyDescent="0.3">
      <c r="B26" s="17"/>
      <c r="C26" s="17"/>
      <c r="D26" s="17"/>
    </row>
    <row r="27" spans="1:5" x14ac:dyDescent="0.3">
      <c r="B27" s="17"/>
      <c r="C27" s="17"/>
      <c r="D27" s="17"/>
    </row>
    <row r="28" spans="1:5" x14ac:dyDescent="0.3">
      <c r="B28" s="17"/>
      <c r="C28" s="17"/>
      <c r="D28" s="17"/>
    </row>
    <row r="29" spans="1:5" x14ac:dyDescent="0.3">
      <c r="B29" s="17"/>
      <c r="C29" s="17"/>
      <c r="D29" s="17"/>
    </row>
    <row r="30" spans="1:5" x14ac:dyDescent="0.3">
      <c r="B30" s="17"/>
      <c r="C30" s="17"/>
      <c r="D30" s="17"/>
    </row>
    <row r="31" spans="1:5" x14ac:dyDescent="0.3">
      <c r="B31" s="17"/>
      <c r="C31" s="18"/>
      <c r="D31" s="18"/>
    </row>
    <row r="32" spans="1:5" x14ac:dyDescent="0.3">
      <c r="B32" s="17"/>
      <c r="C32" s="17"/>
      <c r="D32" s="17"/>
    </row>
    <row r="33" spans="1:4" x14ac:dyDescent="0.3">
      <c r="B33" s="17"/>
      <c r="C33" s="17"/>
      <c r="D33" s="17"/>
    </row>
    <row r="35" spans="1:4" x14ac:dyDescent="0.3">
      <c r="A35" s="16"/>
      <c r="B35" s="16"/>
      <c r="C35" s="16"/>
      <c r="D35" s="16"/>
    </row>
    <row r="36" spans="1:4" x14ac:dyDescent="0.3">
      <c r="B36" s="17"/>
      <c r="C36" s="17"/>
      <c r="D36" s="17"/>
    </row>
    <row r="37" spans="1:4" x14ac:dyDescent="0.3">
      <c r="B37" s="17"/>
      <c r="C37" s="17"/>
      <c r="D37" s="17"/>
    </row>
    <row r="38" spans="1:4" x14ac:dyDescent="0.3">
      <c r="B38" s="17"/>
    </row>
    <row r="39" spans="1:4" x14ac:dyDescent="0.3">
      <c r="B39" s="17"/>
      <c r="C39" s="17"/>
      <c r="D39" s="17"/>
    </row>
    <row r="40" spans="1:4" x14ac:dyDescent="0.3">
      <c r="B40" s="17"/>
      <c r="C40" s="17"/>
      <c r="D40" s="17"/>
    </row>
    <row r="41" spans="1:4" x14ac:dyDescent="0.3">
      <c r="B41" s="17"/>
      <c r="C41" s="17"/>
      <c r="D41" s="17"/>
    </row>
    <row r="42" spans="1:4" x14ac:dyDescent="0.3">
      <c r="B42" s="17"/>
      <c r="C42" s="17"/>
      <c r="D42" s="17"/>
    </row>
    <row r="43" spans="1:4" x14ac:dyDescent="0.3">
      <c r="B43" s="17"/>
      <c r="C43" s="17"/>
      <c r="D43" s="17"/>
    </row>
    <row r="44" spans="1:4" x14ac:dyDescent="0.3">
      <c r="B44" s="17"/>
      <c r="C44" s="17"/>
      <c r="D44" s="17"/>
    </row>
    <row r="45" spans="1:4" x14ac:dyDescent="0.3">
      <c r="B45" s="17"/>
      <c r="C45" s="18"/>
      <c r="D45" s="18"/>
    </row>
    <row r="46" spans="1:4" x14ac:dyDescent="0.3">
      <c r="B46" s="17"/>
      <c r="C46" s="17"/>
      <c r="D46" s="17"/>
    </row>
    <row r="47" spans="1:4" x14ac:dyDescent="0.3">
      <c r="B47" s="17"/>
      <c r="C47" s="17"/>
      <c r="D47" s="17"/>
    </row>
    <row r="48" spans="1:4" x14ac:dyDescent="0.3">
      <c r="B48" s="17"/>
      <c r="C48" s="17"/>
      <c r="D48" s="17"/>
    </row>
    <row r="50" spans="1:4" x14ac:dyDescent="0.3">
      <c r="B50" s="16"/>
      <c r="C50" s="16"/>
      <c r="D50" s="16"/>
    </row>
    <row r="51" spans="1:4" x14ac:dyDescent="0.3">
      <c r="B51" s="17"/>
      <c r="C51" s="17"/>
      <c r="D51" s="17"/>
    </row>
    <row r="52" spans="1:4" x14ac:dyDescent="0.3">
      <c r="B52" s="17"/>
      <c r="C52" s="17"/>
      <c r="D52" s="17"/>
    </row>
    <row r="53" spans="1:4" x14ac:dyDescent="0.3">
      <c r="B53" s="17"/>
      <c r="C53" s="17"/>
      <c r="D53" s="17"/>
    </row>
    <row r="55" spans="1:4" x14ac:dyDescent="0.3">
      <c r="A55" s="16"/>
      <c r="B55" s="16"/>
      <c r="C55" s="16"/>
      <c r="D55" s="16"/>
    </row>
  </sheetData>
  <autoFilter ref="A10:D10" xr:uid="{77B3F3E5-4B5F-40F9-A800-013CC5F2EE00}">
    <sortState xmlns:xlrd2="http://schemas.microsoft.com/office/spreadsheetml/2017/richdata2" ref="A13:E24">
      <sortCondition ref="B10"/>
    </sortState>
  </autoFilter>
  <mergeCells count="2">
    <mergeCell ref="A2:E9"/>
    <mergeCell ref="A1:E1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451-46AC-4478-9EE0-DA5C244416C9}">
  <dimension ref="A1:L36"/>
  <sheetViews>
    <sheetView zoomScale="87" zoomScaleNormal="80" workbookViewId="0">
      <pane ySplit="3" topLeftCell="A25" activePane="bottomLeft" state="frozen"/>
      <selection pane="bottomLeft" activeCell="D12" sqref="D12"/>
    </sheetView>
  </sheetViews>
  <sheetFormatPr defaultColWidth="8.77734375" defaultRowHeight="14.4" x14ac:dyDescent="0.3"/>
  <cols>
    <col min="1" max="1" width="12.109375" customWidth="1"/>
    <col min="2" max="3" width="19.77734375" customWidth="1"/>
    <col min="4" max="4" width="47.109375" customWidth="1"/>
    <col min="5" max="5" width="10" customWidth="1"/>
    <col min="6" max="6" width="16.77734375" customWidth="1"/>
    <col min="7" max="7" width="12.44140625" customWidth="1"/>
    <col min="9" max="9" width="17.21875" customWidth="1"/>
    <col min="10" max="10" width="17.44140625" customWidth="1"/>
  </cols>
  <sheetData>
    <row r="1" spans="1:12" ht="28.8" x14ac:dyDescent="0.55000000000000004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</row>
    <row r="2" spans="1:12" x14ac:dyDescent="0.3">
      <c r="L2" s="2" t="s">
        <v>25</v>
      </c>
    </row>
    <row r="3" spans="1:12" ht="15" thickBot="1" x14ac:dyDescent="0.35">
      <c r="A3" s="1" t="s">
        <v>26</v>
      </c>
      <c r="B3" s="1" t="s">
        <v>5</v>
      </c>
      <c r="C3" s="1" t="s">
        <v>21</v>
      </c>
      <c r="D3" s="1" t="s">
        <v>22</v>
      </c>
      <c r="E3" s="1" t="s">
        <v>23</v>
      </c>
      <c r="F3" s="1" t="s">
        <v>27</v>
      </c>
      <c r="G3" s="1" t="s">
        <v>28</v>
      </c>
      <c r="H3" s="1" t="s">
        <v>29</v>
      </c>
      <c r="I3" s="1" t="s">
        <v>12</v>
      </c>
      <c r="J3" s="1" t="s">
        <v>30</v>
      </c>
      <c r="L3" t="s">
        <v>15</v>
      </c>
    </row>
    <row r="4" spans="1:12" ht="43.8" thickBot="1" x14ac:dyDescent="0.35">
      <c r="A4" s="3" t="s">
        <v>97</v>
      </c>
      <c r="B4" s="3" t="s">
        <v>98</v>
      </c>
      <c r="C4" s="19" t="s">
        <v>91</v>
      </c>
      <c r="D4" s="3" t="s">
        <v>206</v>
      </c>
      <c r="E4" s="3" t="s">
        <v>32</v>
      </c>
      <c r="F4" s="3" t="s">
        <v>169</v>
      </c>
      <c r="G4" s="3">
        <v>5</v>
      </c>
      <c r="H4" s="3"/>
      <c r="I4" s="3" t="s">
        <v>15</v>
      </c>
      <c r="J4" s="3"/>
      <c r="L4" t="s">
        <v>16</v>
      </c>
    </row>
    <row r="5" spans="1:12" ht="29.4" thickBot="1" x14ac:dyDescent="0.35">
      <c r="A5" s="3" t="s">
        <v>171</v>
      </c>
      <c r="B5" s="3" t="s">
        <v>108</v>
      </c>
      <c r="C5" s="23" t="s">
        <v>77</v>
      </c>
      <c r="D5" s="25" t="s">
        <v>207</v>
      </c>
      <c r="E5" s="3" t="s">
        <v>32</v>
      </c>
      <c r="F5" s="30" t="s">
        <v>169</v>
      </c>
      <c r="G5" s="3">
        <v>5</v>
      </c>
      <c r="H5" s="3"/>
      <c r="I5" s="3" t="s">
        <v>15</v>
      </c>
      <c r="J5" s="3"/>
      <c r="L5" t="s">
        <v>17</v>
      </c>
    </row>
    <row r="6" spans="1:12" ht="29.4" thickBot="1" x14ac:dyDescent="0.35">
      <c r="A6" s="3" t="s">
        <v>172</v>
      </c>
      <c r="B6" s="3" t="s">
        <v>109</v>
      </c>
      <c r="C6" s="23" t="s">
        <v>77</v>
      </c>
      <c r="D6" s="3" t="s">
        <v>107</v>
      </c>
      <c r="E6" s="3" t="s">
        <v>34</v>
      </c>
      <c r="F6" s="3" t="str">
        <f>A5</f>
        <v>GH-02</v>
      </c>
      <c r="G6" s="3">
        <v>3</v>
      </c>
      <c r="H6" s="3"/>
      <c r="I6" s="3" t="s">
        <v>15</v>
      </c>
      <c r="J6" s="3"/>
    </row>
    <row r="7" spans="1:12" ht="43.8" thickBot="1" x14ac:dyDescent="0.35">
      <c r="A7" s="3" t="s">
        <v>173</v>
      </c>
      <c r="B7" s="3" t="s">
        <v>159</v>
      </c>
      <c r="C7" s="19" t="s">
        <v>78</v>
      </c>
      <c r="D7" s="3" t="s">
        <v>104</v>
      </c>
      <c r="E7" s="3" t="s">
        <v>32</v>
      </c>
      <c r="F7" s="3" t="str">
        <f>A19</f>
        <v>GH-16</v>
      </c>
      <c r="G7" s="3">
        <v>8</v>
      </c>
      <c r="H7" s="3"/>
      <c r="I7" s="3" t="s">
        <v>15</v>
      </c>
      <c r="J7" s="3"/>
      <c r="L7" s="2" t="s">
        <v>31</v>
      </c>
    </row>
    <row r="8" spans="1:12" ht="43.8" thickBot="1" x14ac:dyDescent="0.35">
      <c r="A8" s="3" t="s">
        <v>174</v>
      </c>
      <c r="B8" s="3" t="s">
        <v>160</v>
      </c>
      <c r="C8" s="19" t="s">
        <v>78</v>
      </c>
      <c r="D8" s="3" t="s">
        <v>104</v>
      </c>
      <c r="E8" s="3" t="s">
        <v>32</v>
      </c>
      <c r="F8" s="3" t="str">
        <f>A19</f>
        <v>GH-16</v>
      </c>
      <c r="G8" s="3">
        <v>5</v>
      </c>
      <c r="H8" s="3"/>
      <c r="I8" s="3" t="s">
        <v>15</v>
      </c>
      <c r="J8" s="3"/>
      <c r="L8" t="s">
        <v>32</v>
      </c>
    </row>
    <row r="9" spans="1:12" ht="29.4" thickBot="1" x14ac:dyDescent="0.35">
      <c r="A9" s="3" t="s">
        <v>175</v>
      </c>
      <c r="B9" s="3" t="s">
        <v>128</v>
      </c>
      <c r="C9" s="23" t="s">
        <v>78</v>
      </c>
      <c r="D9" s="3" t="s">
        <v>127</v>
      </c>
      <c r="E9" s="3" t="s">
        <v>32</v>
      </c>
      <c r="F9" s="3" t="s">
        <v>203</v>
      </c>
      <c r="G9" s="3">
        <v>13</v>
      </c>
      <c r="H9" s="3"/>
      <c r="I9" s="3" t="s">
        <v>15</v>
      </c>
      <c r="J9" s="3"/>
      <c r="L9" t="s">
        <v>33</v>
      </c>
    </row>
    <row r="10" spans="1:12" ht="29.4" thickBot="1" x14ac:dyDescent="0.35">
      <c r="A10" s="3" t="s">
        <v>176</v>
      </c>
      <c r="B10" s="3" t="s">
        <v>110</v>
      </c>
      <c r="C10" s="24" t="s">
        <v>79</v>
      </c>
      <c r="D10" s="23" t="s">
        <v>208</v>
      </c>
      <c r="E10" s="3" t="s">
        <v>34</v>
      </c>
      <c r="F10" s="3" t="str">
        <f>A11</f>
        <v>GH-08</v>
      </c>
      <c r="G10" s="3">
        <v>2</v>
      </c>
      <c r="H10" s="3"/>
      <c r="I10" s="3" t="s">
        <v>15</v>
      </c>
      <c r="J10" s="3"/>
      <c r="L10" t="s">
        <v>34</v>
      </c>
    </row>
    <row r="11" spans="1:12" ht="29.4" thickBot="1" x14ac:dyDescent="0.35">
      <c r="A11" s="3" t="s">
        <v>177</v>
      </c>
      <c r="B11" s="3" t="s">
        <v>111</v>
      </c>
      <c r="C11" s="24" t="s">
        <v>79</v>
      </c>
      <c r="D11" s="3" t="s">
        <v>112</v>
      </c>
      <c r="E11" s="3" t="s">
        <v>33</v>
      </c>
      <c r="F11" s="3" t="s">
        <v>169</v>
      </c>
      <c r="G11" s="3">
        <v>2</v>
      </c>
      <c r="H11" s="3"/>
      <c r="I11" s="3" t="s">
        <v>15</v>
      </c>
      <c r="J11" s="3"/>
    </row>
    <row r="12" spans="1:12" ht="29.4" thickBot="1" x14ac:dyDescent="0.35">
      <c r="A12" s="3" t="s">
        <v>178</v>
      </c>
      <c r="B12" s="3" t="s">
        <v>113</v>
      </c>
      <c r="C12" s="24" t="s">
        <v>79</v>
      </c>
      <c r="D12" s="3" t="s">
        <v>114</v>
      </c>
      <c r="E12" s="3" t="s">
        <v>34</v>
      </c>
      <c r="F12" s="3" t="str">
        <f>A11</f>
        <v>GH-08</v>
      </c>
      <c r="G12" s="3">
        <v>2</v>
      </c>
      <c r="H12" s="3"/>
      <c r="I12" s="3" t="s">
        <v>15</v>
      </c>
      <c r="J12" s="3"/>
    </row>
    <row r="13" spans="1:12" ht="29.4" thickBot="1" x14ac:dyDescent="0.35">
      <c r="A13" s="3" t="s">
        <v>179</v>
      </c>
      <c r="B13" s="3" t="s">
        <v>170</v>
      </c>
      <c r="C13" s="24" t="s">
        <v>79</v>
      </c>
      <c r="D13" s="3" t="s">
        <v>115</v>
      </c>
      <c r="E13" s="3" t="s">
        <v>32</v>
      </c>
      <c r="F13" s="3" t="str">
        <f>A10</f>
        <v>GH-07</v>
      </c>
      <c r="G13" s="3">
        <v>3</v>
      </c>
      <c r="H13" s="3"/>
      <c r="I13" s="3" t="s">
        <v>15</v>
      </c>
      <c r="J13" s="3"/>
    </row>
    <row r="14" spans="1:12" ht="29.4" thickBot="1" x14ac:dyDescent="0.35">
      <c r="A14" s="3" t="s">
        <v>180</v>
      </c>
      <c r="B14" s="3" t="s">
        <v>120</v>
      </c>
      <c r="C14" s="24" t="s">
        <v>81</v>
      </c>
      <c r="D14" s="3" t="s">
        <v>116</v>
      </c>
      <c r="E14" s="3" t="s">
        <v>33</v>
      </c>
      <c r="F14" s="3" t="str">
        <f>A19</f>
        <v>GH-16</v>
      </c>
      <c r="G14" s="3">
        <v>2</v>
      </c>
      <c r="H14" s="3"/>
      <c r="I14" s="3" t="s">
        <v>15</v>
      </c>
      <c r="J14" s="3"/>
    </row>
    <row r="15" spans="1:12" ht="29.4" thickBot="1" x14ac:dyDescent="0.35">
      <c r="A15" s="3" t="s">
        <v>181</v>
      </c>
      <c r="B15" s="3" t="s">
        <v>121</v>
      </c>
      <c r="C15" s="24" t="s">
        <v>81</v>
      </c>
      <c r="D15" s="3" t="s">
        <v>117</v>
      </c>
      <c r="E15" s="3" t="s">
        <v>33</v>
      </c>
      <c r="F15" s="3" t="str">
        <f>A19</f>
        <v>GH-16</v>
      </c>
      <c r="G15" s="3">
        <v>2</v>
      </c>
      <c r="H15" s="3"/>
      <c r="I15" s="3" t="s">
        <v>15</v>
      </c>
      <c r="J15" s="3"/>
    </row>
    <row r="16" spans="1:12" ht="29.4" thickBot="1" x14ac:dyDescent="0.35">
      <c r="A16" s="3" t="s">
        <v>182</v>
      </c>
      <c r="B16" s="3" t="s">
        <v>122</v>
      </c>
      <c r="C16" s="24" t="s">
        <v>81</v>
      </c>
      <c r="D16" s="3" t="s">
        <v>119</v>
      </c>
      <c r="E16" s="3" t="s">
        <v>34</v>
      </c>
      <c r="F16" s="3" t="str">
        <f>A19</f>
        <v>GH-16</v>
      </c>
      <c r="G16" s="3">
        <v>0.5</v>
      </c>
      <c r="H16" s="3"/>
      <c r="I16" s="3" t="s">
        <v>15</v>
      </c>
      <c r="J16" s="3"/>
    </row>
    <row r="17" spans="1:10" ht="29.4" thickBot="1" x14ac:dyDescent="0.35">
      <c r="A17" s="3" t="s">
        <v>183</v>
      </c>
      <c r="B17" s="3" t="s">
        <v>124</v>
      </c>
      <c r="C17" s="29" t="s">
        <v>82</v>
      </c>
      <c r="D17" s="3" t="s">
        <v>209</v>
      </c>
      <c r="E17" s="3" t="s">
        <v>32</v>
      </c>
      <c r="F17" s="3" t="str">
        <f>A29</f>
        <v>GH-26</v>
      </c>
      <c r="G17" s="3">
        <v>40</v>
      </c>
      <c r="H17" s="3"/>
      <c r="I17" s="3" t="s">
        <v>15</v>
      </c>
      <c r="J17" s="3"/>
    </row>
    <row r="18" spans="1:10" ht="29.4" thickBot="1" x14ac:dyDescent="0.35">
      <c r="A18" s="3" t="s">
        <v>184</v>
      </c>
      <c r="B18" s="3" t="s">
        <v>126</v>
      </c>
      <c r="C18" s="24" t="s">
        <v>82</v>
      </c>
      <c r="D18" s="3" t="s">
        <v>125</v>
      </c>
      <c r="E18" s="3" t="s">
        <v>33</v>
      </c>
      <c r="F18" s="3" t="str">
        <f>A29</f>
        <v>GH-26</v>
      </c>
      <c r="G18" s="3">
        <v>5</v>
      </c>
      <c r="H18" s="3"/>
      <c r="I18" s="3" t="s">
        <v>15</v>
      </c>
      <c r="J18" s="3"/>
    </row>
    <row r="19" spans="1:10" ht="43.8" thickBot="1" x14ac:dyDescent="0.35">
      <c r="A19" s="3" t="s">
        <v>185</v>
      </c>
      <c r="B19" s="3" t="s">
        <v>99</v>
      </c>
      <c r="C19" s="19" t="s">
        <v>91</v>
      </c>
      <c r="D19" s="3" t="s">
        <v>100</v>
      </c>
      <c r="E19" s="3" t="s">
        <v>32</v>
      </c>
      <c r="F19" s="3" t="str">
        <f>A21</f>
        <v>GH-18</v>
      </c>
      <c r="G19" s="3">
        <v>5</v>
      </c>
      <c r="H19" s="3"/>
      <c r="I19" s="3" t="s">
        <v>15</v>
      </c>
      <c r="J19" s="3"/>
    </row>
    <row r="20" spans="1:10" ht="43.8" thickBot="1" x14ac:dyDescent="0.35">
      <c r="A20" s="3" t="s">
        <v>186</v>
      </c>
      <c r="B20" s="3" t="s">
        <v>101</v>
      </c>
      <c r="C20" s="29" t="s">
        <v>91</v>
      </c>
      <c r="D20" s="3" t="s">
        <v>102</v>
      </c>
      <c r="E20" s="3" t="s">
        <v>32</v>
      </c>
      <c r="F20" s="3" t="str">
        <f>A21</f>
        <v>GH-18</v>
      </c>
      <c r="G20" s="3">
        <v>0.5</v>
      </c>
      <c r="H20" s="3"/>
      <c r="I20" s="3" t="s">
        <v>15</v>
      </c>
      <c r="J20" s="3"/>
    </row>
    <row r="21" spans="1:10" ht="58.2" thickBot="1" x14ac:dyDescent="0.35">
      <c r="A21" s="3" t="s">
        <v>187</v>
      </c>
      <c r="B21" s="3" t="s">
        <v>105</v>
      </c>
      <c r="C21" s="29" t="s">
        <v>91</v>
      </c>
      <c r="D21" s="3" t="s">
        <v>161</v>
      </c>
      <c r="E21" s="3" t="s">
        <v>32</v>
      </c>
      <c r="F21" s="3" t="s">
        <v>169</v>
      </c>
      <c r="G21" s="3">
        <v>8</v>
      </c>
      <c r="H21" s="3"/>
      <c r="I21" s="3" t="s">
        <v>15</v>
      </c>
      <c r="J21" s="3"/>
    </row>
    <row r="22" spans="1:10" ht="29.4" thickBot="1" x14ac:dyDescent="0.35">
      <c r="A22" s="3" t="s">
        <v>188</v>
      </c>
      <c r="B22" s="3" t="s">
        <v>129</v>
      </c>
      <c r="C22" s="24" t="s">
        <v>95</v>
      </c>
      <c r="D22" s="3" t="s">
        <v>130</v>
      </c>
      <c r="E22" s="3" t="s">
        <v>32</v>
      </c>
      <c r="F22" s="3" t="s">
        <v>169</v>
      </c>
      <c r="G22" s="3">
        <v>8</v>
      </c>
      <c r="H22" s="3"/>
      <c r="I22" s="3" t="s">
        <v>16</v>
      </c>
      <c r="J22" s="3"/>
    </row>
    <row r="23" spans="1:10" ht="29.4" thickBot="1" x14ac:dyDescent="0.35">
      <c r="A23" s="3" t="s">
        <v>189</v>
      </c>
      <c r="B23" s="3" t="s">
        <v>131</v>
      </c>
      <c r="C23" s="24" t="s">
        <v>95</v>
      </c>
      <c r="D23" s="3" t="s">
        <v>133</v>
      </c>
      <c r="E23" s="3" t="s">
        <v>32</v>
      </c>
      <c r="F23" s="3" t="s">
        <v>169</v>
      </c>
      <c r="G23" s="3">
        <v>0.5</v>
      </c>
      <c r="H23" s="3"/>
      <c r="I23" s="3" t="s">
        <v>17</v>
      </c>
      <c r="J23" s="3"/>
    </row>
    <row r="24" spans="1:10" ht="29.4" thickBot="1" x14ac:dyDescent="0.35">
      <c r="A24" s="3" t="s">
        <v>190</v>
      </c>
      <c r="B24" s="3" t="s">
        <v>132</v>
      </c>
      <c r="C24" s="24" t="s">
        <v>95</v>
      </c>
      <c r="D24" s="3" t="s">
        <v>134</v>
      </c>
      <c r="E24" s="3" t="s">
        <v>32</v>
      </c>
      <c r="F24" s="3" t="s">
        <v>169</v>
      </c>
      <c r="G24" s="3">
        <v>1</v>
      </c>
      <c r="H24" s="3"/>
      <c r="I24" s="3" t="s">
        <v>17</v>
      </c>
      <c r="J24" s="3"/>
    </row>
    <row r="25" spans="1:10" ht="29.4" thickBot="1" x14ac:dyDescent="0.35">
      <c r="A25" s="3" t="s">
        <v>191</v>
      </c>
      <c r="B25" s="3" t="s">
        <v>135</v>
      </c>
      <c r="C25" s="24" t="s">
        <v>95</v>
      </c>
      <c r="D25" s="3" t="s">
        <v>136</v>
      </c>
      <c r="E25" s="3" t="s">
        <v>32</v>
      </c>
      <c r="F25" s="3" t="s">
        <v>169</v>
      </c>
      <c r="G25" s="3">
        <v>1</v>
      </c>
      <c r="H25" s="3"/>
      <c r="I25" s="3" t="s">
        <v>15</v>
      </c>
      <c r="J25" s="3"/>
    </row>
    <row r="26" spans="1:10" ht="28.8" x14ac:dyDescent="0.3">
      <c r="A26" s="3" t="s">
        <v>192</v>
      </c>
      <c r="B26" s="3" t="s">
        <v>163</v>
      </c>
      <c r="C26" s="24" t="s">
        <v>95</v>
      </c>
      <c r="D26" s="3" t="s">
        <v>164</v>
      </c>
      <c r="E26" s="3" t="s">
        <v>33</v>
      </c>
      <c r="F26" s="3" t="s">
        <v>169</v>
      </c>
      <c r="G26" s="3">
        <v>3</v>
      </c>
      <c r="H26" s="3"/>
      <c r="I26" s="3" t="s">
        <v>16</v>
      </c>
      <c r="J26" s="3"/>
    </row>
    <row r="27" spans="1:10" ht="28.8" x14ac:dyDescent="0.3">
      <c r="A27" s="3" t="s">
        <v>193</v>
      </c>
      <c r="B27" s="3" t="s">
        <v>156</v>
      </c>
      <c r="C27" s="22" t="s">
        <v>148</v>
      </c>
      <c r="D27" s="3" t="s">
        <v>157</v>
      </c>
      <c r="E27" s="3" t="s">
        <v>32</v>
      </c>
      <c r="F27" s="3" t="s">
        <v>169</v>
      </c>
      <c r="G27" s="3">
        <v>5</v>
      </c>
      <c r="H27" s="3"/>
      <c r="I27" s="3" t="s">
        <v>15</v>
      </c>
      <c r="J27" s="3"/>
    </row>
    <row r="28" spans="1:10" ht="28.8" x14ac:dyDescent="0.3">
      <c r="A28" s="3" t="s">
        <v>194</v>
      </c>
      <c r="B28" s="3" t="s">
        <v>155</v>
      </c>
      <c r="C28" s="22" t="s">
        <v>148</v>
      </c>
      <c r="D28" s="3" t="s">
        <v>158</v>
      </c>
      <c r="E28" s="3" t="s">
        <v>32</v>
      </c>
      <c r="F28" s="3" t="s">
        <v>169</v>
      </c>
      <c r="G28" s="3">
        <v>8</v>
      </c>
      <c r="H28" s="3"/>
      <c r="I28" s="3" t="s">
        <v>15</v>
      </c>
      <c r="J28" s="3"/>
    </row>
    <row r="29" spans="1:10" ht="28.8" x14ac:dyDescent="0.3">
      <c r="A29" s="3" t="s">
        <v>195</v>
      </c>
      <c r="B29" s="3" t="s">
        <v>141</v>
      </c>
      <c r="C29" s="22" t="s">
        <v>143</v>
      </c>
      <c r="D29" s="3" t="s">
        <v>210</v>
      </c>
      <c r="E29" s="3" t="s">
        <v>34</v>
      </c>
      <c r="F29" s="3" t="s">
        <v>169</v>
      </c>
      <c r="G29" s="3">
        <v>5</v>
      </c>
      <c r="H29" s="3"/>
      <c r="I29" s="3" t="s">
        <v>15</v>
      </c>
      <c r="J29" s="3"/>
    </row>
    <row r="30" spans="1:10" ht="28.8" x14ac:dyDescent="0.3">
      <c r="A30" s="3" t="s">
        <v>196</v>
      </c>
      <c r="B30" s="3" t="s">
        <v>138</v>
      </c>
      <c r="C30" s="22" t="s">
        <v>85</v>
      </c>
      <c r="D30" s="3" t="s">
        <v>137</v>
      </c>
      <c r="E30" s="3" t="s">
        <v>34</v>
      </c>
      <c r="F30" s="3" t="s">
        <v>169</v>
      </c>
      <c r="G30" s="3">
        <v>2</v>
      </c>
      <c r="H30" s="3"/>
      <c r="I30" s="3" t="s">
        <v>15</v>
      </c>
      <c r="J30" s="3"/>
    </row>
    <row r="31" spans="1:10" ht="28.8" x14ac:dyDescent="0.3">
      <c r="A31" s="3" t="s">
        <v>197</v>
      </c>
      <c r="B31" s="3" t="s">
        <v>140</v>
      </c>
      <c r="C31" s="22" t="s">
        <v>85</v>
      </c>
      <c r="D31" s="3" t="s">
        <v>139</v>
      </c>
      <c r="E31" s="3" t="s">
        <v>33</v>
      </c>
      <c r="F31" s="3" t="s">
        <v>169</v>
      </c>
      <c r="G31" s="3">
        <v>13</v>
      </c>
      <c r="H31" s="3"/>
      <c r="I31" s="3" t="s">
        <v>15</v>
      </c>
      <c r="J31" s="3"/>
    </row>
    <row r="32" spans="1:10" ht="43.2" x14ac:dyDescent="0.3">
      <c r="A32" s="3" t="s">
        <v>198</v>
      </c>
      <c r="B32" s="3" t="s">
        <v>211</v>
      </c>
      <c r="C32" s="22" t="s">
        <v>85</v>
      </c>
      <c r="D32" s="3" t="s">
        <v>212</v>
      </c>
      <c r="E32" s="3" t="s">
        <v>32</v>
      </c>
      <c r="F32" s="3" t="s">
        <v>169</v>
      </c>
      <c r="G32" s="3">
        <v>5</v>
      </c>
      <c r="H32" s="3"/>
      <c r="I32" s="3" t="s">
        <v>15</v>
      </c>
      <c r="J32" s="3"/>
    </row>
    <row r="33" spans="1:10" ht="28.8" x14ac:dyDescent="0.3">
      <c r="A33" s="3" t="s">
        <v>199</v>
      </c>
      <c r="B33" s="3" t="s">
        <v>145</v>
      </c>
      <c r="C33" s="26" t="s">
        <v>85</v>
      </c>
      <c r="D33" s="3" t="s">
        <v>146</v>
      </c>
      <c r="E33" s="3" t="s">
        <v>33</v>
      </c>
      <c r="F33" s="3" t="s">
        <v>204</v>
      </c>
      <c r="G33" s="3">
        <v>1</v>
      </c>
      <c r="H33" s="3"/>
      <c r="I33" s="3" t="s">
        <v>15</v>
      </c>
      <c r="J33" s="3"/>
    </row>
    <row r="34" spans="1:10" ht="43.8" thickBot="1" x14ac:dyDescent="0.35">
      <c r="A34" s="3" t="s">
        <v>200</v>
      </c>
      <c r="B34" s="3" t="s">
        <v>149</v>
      </c>
      <c r="C34" s="26" t="s">
        <v>142</v>
      </c>
      <c r="D34" s="3" t="s">
        <v>150</v>
      </c>
      <c r="E34" s="3" t="s">
        <v>33</v>
      </c>
      <c r="F34" s="3" t="s">
        <v>194</v>
      </c>
      <c r="G34" s="3">
        <v>5</v>
      </c>
      <c r="H34" s="3"/>
      <c r="I34" s="3" t="s">
        <v>15</v>
      </c>
      <c r="J34" s="3"/>
    </row>
    <row r="35" spans="1:10" ht="43.8" thickBot="1" x14ac:dyDescent="0.35">
      <c r="A35" s="3" t="s">
        <v>201</v>
      </c>
      <c r="B35" s="3" t="s">
        <v>151</v>
      </c>
      <c r="C35" s="24" t="s">
        <v>92</v>
      </c>
      <c r="D35" s="3" t="s">
        <v>152</v>
      </c>
      <c r="E35" s="3" t="s">
        <v>34</v>
      </c>
      <c r="F35" s="3" t="s">
        <v>169</v>
      </c>
      <c r="G35" s="3">
        <v>8</v>
      </c>
      <c r="H35" s="3"/>
      <c r="I35" s="3" t="s">
        <v>15</v>
      </c>
      <c r="J35" s="3"/>
    </row>
    <row r="36" spans="1:10" ht="28.8" x14ac:dyDescent="0.3">
      <c r="A36" s="3" t="s">
        <v>202</v>
      </c>
      <c r="B36" s="3" t="s">
        <v>153</v>
      </c>
      <c r="C36" s="24" t="s">
        <v>92</v>
      </c>
      <c r="D36" s="3" t="s">
        <v>154</v>
      </c>
      <c r="E36" s="3" t="s">
        <v>34</v>
      </c>
      <c r="F36" s="3" t="s">
        <v>202</v>
      </c>
      <c r="G36" s="3">
        <v>8</v>
      </c>
      <c r="H36" s="3"/>
      <c r="I36" s="3" t="s">
        <v>15</v>
      </c>
      <c r="J36" s="3"/>
    </row>
  </sheetData>
  <mergeCells count="1">
    <mergeCell ref="A1:J1"/>
  </mergeCells>
  <phoneticPr fontId="10" type="noConversion"/>
  <dataValidations count="2">
    <dataValidation type="list" allowBlank="1" showInputMessage="1" showErrorMessage="1" sqref="I4:I36" xr:uid="{BB889DD1-88CD-4BDB-98A5-3CC9C5D63332}">
      <formula1>$L$3:$L$5</formula1>
    </dataValidation>
    <dataValidation type="list" allowBlank="1" showInputMessage="1" showErrorMessage="1" sqref="E4:E36" xr:uid="{D4954F6E-5C80-4868-8B20-BF00C35F9218}">
      <formula1>$L$8:$L$10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FDAE-1104-4CD3-91B9-BF5E1B8C8EDE}">
  <dimension ref="A1:M45"/>
  <sheetViews>
    <sheetView tabSelected="1" zoomScale="103" zoomScaleNormal="60" workbookViewId="0">
      <pane ySplit="1" topLeftCell="A9" activePane="bottomLeft" state="frozen"/>
      <selection pane="bottomLeft" activeCell="G22" sqref="G2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4" width="28.6640625" customWidth="1"/>
    <col min="5" max="5" width="17.77734375" customWidth="1"/>
    <col min="6" max="9" width="10.77734375" customWidth="1"/>
    <col min="10" max="10" width="35.77734375" customWidth="1"/>
    <col min="12" max="12" width="10.109375" bestFit="1" customWidth="1"/>
  </cols>
  <sheetData>
    <row r="1" spans="1:13" ht="28.8" x14ac:dyDescent="0.55000000000000004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</row>
    <row r="3" spans="1:13" ht="18" x14ac:dyDescent="0.35">
      <c r="A3" s="7" t="s">
        <v>36</v>
      </c>
      <c r="B3" s="6" t="s">
        <v>37</v>
      </c>
      <c r="C3" s="6"/>
      <c r="D3" s="6"/>
      <c r="E3" s="6"/>
      <c r="F3" s="6"/>
      <c r="G3" s="6"/>
      <c r="H3" s="6"/>
      <c r="I3" s="6"/>
      <c r="J3" s="6"/>
    </row>
    <row r="5" spans="1:13" x14ac:dyDescent="0.3">
      <c r="A5" s="8" t="s">
        <v>38</v>
      </c>
      <c r="B5" s="21">
        <v>46058</v>
      </c>
    </row>
    <row r="6" spans="1:13" x14ac:dyDescent="0.3">
      <c r="A6" s="8" t="s">
        <v>39</v>
      </c>
      <c r="B6" s="21">
        <v>46076</v>
      </c>
    </row>
    <row r="7" spans="1:13" x14ac:dyDescent="0.3">
      <c r="A7" s="9" t="s">
        <v>40</v>
      </c>
      <c r="B7" s="10">
        <v>3</v>
      </c>
      <c r="L7" t="s">
        <v>15</v>
      </c>
    </row>
    <row r="8" spans="1:13" x14ac:dyDescent="0.3">
      <c r="A8" s="9" t="s">
        <v>41</v>
      </c>
      <c r="B8" s="10"/>
      <c r="L8" t="s">
        <v>16</v>
      </c>
    </row>
    <row r="9" spans="1:13" x14ac:dyDescent="0.3">
      <c r="A9" s="9" t="s">
        <v>42</v>
      </c>
      <c r="B9" s="10">
        <v>32</v>
      </c>
      <c r="L9" t="s">
        <v>17</v>
      </c>
    </row>
    <row r="11" spans="1:13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3" ht="43.5" customHeight="1" x14ac:dyDescent="0.3">
      <c r="A12" s="41" t="s">
        <v>44</v>
      </c>
      <c r="B12" s="41"/>
      <c r="C12" s="41"/>
      <c r="D12" s="41"/>
      <c r="E12" s="41"/>
      <c r="F12" s="41"/>
      <c r="G12" s="41"/>
      <c r="H12" s="41"/>
      <c r="I12" s="41"/>
      <c r="J12" s="41"/>
    </row>
    <row r="14" spans="1:13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3" x14ac:dyDescent="0.3">
      <c r="A15" s="2"/>
      <c r="F15" s="42" t="s">
        <v>46</v>
      </c>
      <c r="G15" s="42"/>
      <c r="H15" s="42"/>
      <c r="I15" s="42"/>
      <c r="L15" s="2" t="s">
        <v>7</v>
      </c>
      <c r="M15" t="s">
        <v>74</v>
      </c>
    </row>
    <row r="16" spans="1:13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  <c r="L16" s="2" t="s">
        <v>8</v>
      </c>
      <c r="M16" t="s">
        <v>75</v>
      </c>
    </row>
    <row r="17" spans="1:13" x14ac:dyDescent="0.3">
      <c r="A17" s="3" t="s">
        <v>188</v>
      </c>
      <c r="B17" s="3" t="s">
        <v>129</v>
      </c>
      <c r="C17" s="3">
        <v>8</v>
      </c>
      <c r="D17" s="3" t="s">
        <v>167</v>
      </c>
      <c r="E17" s="3" t="s">
        <v>17</v>
      </c>
      <c r="F17" s="3">
        <v>9.5</v>
      </c>
      <c r="G17" s="3">
        <v>9.5</v>
      </c>
      <c r="H17" s="3">
        <v>9.5</v>
      </c>
      <c r="I17" s="3"/>
      <c r="J17" s="3" t="s">
        <v>205</v>
      </c>
      <c r="L17" s="2" t="s">
        <v>9</v>
      </c>
      <c r="M17" t="s">
        <v>76</v>
      </c>
    </row>
    <row r="18" spans="1:13" x14ac:dyDescent="0.3">
      <c r="A18" s="3" t="s">
        <v>189</v>
      </c>
      <c r="B18" s="3" t="s">
        <v>131</v>
      </c>
      <c r="C18" s="3">
        <v>0.5</v>
      </c>
      <c r="D18" s="3" t="s">
        <v>162</v>
      </c>
      <c r="E18" s="3" t="s">
        <v>17</v>
      </c>
      <c r="F18" s="3"/>
      <c r="G18" s="3"/>
      <c r="H18" s="3">
        <v>0.5</v>
      </c>
      <c r="I18" s="3"/>
      <c r="J18" s="3"/>
    </row>
    <row r="19" spans="1:13" x14ac:dyDescent="0.3">
      <c r="A19" s="3" t="s">
        <v>190</v>
      </c>
      <c r="B19" s="3" t="s">
        <v>132</v>
      </c>
      <c r="C19" s="3">
        <v>1</v>
      </c>
      <c r="D19" s="3" t="s">
        <v>167</v>
      </c>
      <c r="E19" s="3" t="s">
        <v>17</v>
      </c>
      <c r="F19" s="3">
        <v>1</v>
      </c>
      <c r="G19" s="3">
        <v>1</v>
      </c>
      <c r="H19" s="3">
        <v>1</v>
      </c>
      <c r="I19" s="3"/>
      <c r="J19" s="3"/>
    </row>
    <row r="20" spans="1:13" x14ac:dyDescent="0.3">
      <c r="A20" s="3" t="s">
        <v>191</v>
      </c>
      <c r="B20" s="3" t="s">
        <v>135</v>
      </c>
      <c r="C20" s="3">
        <v>1</v>
      </c>
      <c r="D20" s="3" t="s">
        <v>166</v>
      </c>
      <c r="E20" s="3" t="s">
        <v>17</v>
      </c>
      <c r="F20" s="3"/>
      <c r="G20" s="3">
        <v>1</v>
      </c>
      <c r="H20" s="3"/>
      <c r="I20" s="3"/>
      <c r="J20" s="3"/>
    </row>
    <row r="21" spans="1:13" x14ac:dyDescent="0.3">
      <c r="A21" s="3" t="s">
        <v>192</v>
      </c>
      <c r="B21" s="3" t="s">
        <v>163</v>
      </c>
      <c r="C21" s="3">
        <v>3</v>
      </c>
      <c r="D21" s="3" t="s">
        <v>165</v>
      </c>
      <c r="E21" s="3" t="s">
        <v>17</v>
      </c>
      <c r="F21" s="3">
        <v>2</v>
      </c>
      <c r="G21" s="3"/>
      <c r="H21" s="3"/>
      <c r="I21" s="3"/>
      <c r="J21" s="3"/>
    </row>
    <row r="22" spans="1:13" x14ac:dyDescent="0.3">
      <c r="A22" s="3" t="s">
        <v>186</v>
      </c>
      <c r="B22" s="3" t="s">
        <v>101</v>
      </c>
      <c r="C22" s="3">
        <v>0.5</v>
      </c>
      <c r="D22" s="3" t="s">
        <v>162</v>
      </c>
      <c r="E22" s="3" t="s">
        <v>17</v>
      </c>
      <c r="F22" s="3"/>
      <c r="G22" s="3"/>
      <c r="H22" s="3">
        <v>0.5</v>
      </c>
      <c r="I22" s="3"/>
      <c r="J22" s="3"/>
    </row>
    <row r="23" spans="1:13" x14ac:dyDescent="0.3">
      <c r="A23" s="3" t="s">
        <v>187</v>
      </c>
      <c r="B23" s="3" t="s">
        <v>105</v>
      </c>
      <c r="C23" s="3">
        <v>8</v>
      </c>
      <c r="D23" s="3" t="s">
        <v>162</v>
      </c>
      <c r="E23" s="3" t="s">
        <v>17</v>
      </c>
      <c r="F23" s="3">
        <v>1</v>
      </c>
      <c r="G23" s="3"/>
      <c r="H23" s="3">
        <v>6</v>
      </c>
      <c r="I23" s="3"/>
      <c r="J23" s="3"/>
    </row>
    <row r="24" spans="1:13" x14ac:dyDescent="0.3">
      <c r="A24" s="3" t="s">
        <v>185</v>
      </c>
      <c r="B24" s="3" t="s">
        <v>99</v>
      </c>
      <c r="C24" s="3">
        <v>5</v>
      </c>
      <c r="D24" s="3" t="s">
        <v>166</v>
      </c>
      <c r="E24" s="3" t="s">
        <v>17</v>
      </c>
      <c r="F24" s="3"/>
      <c r="G24" s="3">
        <v>3</v>
      </c>
      <c r="H24" s="3"/>
      <c r="I24" s="3"/>
      <c r="J24" s="3"/>
    </row>
    <row r="25" spans="1:13" x14ac:dyDescent="0.3">
      <c r="A25" s="3" t="s">
        <v>97</v>
      </c>
      <c r="B25" s="3" t="s">
        <v>98</v>
      </c>
      <c r="C25" s="3">
        <v>5</v>
      </c>
      <c r="D25" s="3" t="s">
        <v>165</v>
      </c>
      <c r="E25" s="3" t="s">
        <v>17</v>
      </c>
      <c r="F25" s="3">
        <v>2</v>
      </c>
      <c r="G25" s="3"/>
      <c r="H25" s="3"/>
      <c r="I25" s="3"/>
      <c r="J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3" x14ac:dyDescent="0.3">
      <c r="A31" s="5"/>
      <c r="B31" s="5"/>
      <c r="C31" s="5"/>
      <c r="D31" s="5"/>
      <c r="E31" s="5" t="s">
        <v>18</v>
      </c>
      <c r="F31" s="5">
        <f>SUM(F17:F30)</f>
        <v>15.5</v>
      </c>
      <c r="G31" s="5">
        <f t="shared" ref="G31:I31" si="0">SUM(G17:G30)</f>
        <v>14.5</v>
      </c>
      <c r="H31" s="5">
        <f t="shared" si="0"/>
        <v>17.5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  <mergeCell ref="B36:J36"/>
    <mergeCell ref="A1:J1"/>
    <mergeCell ref="A11:J11"/>
    <mergeCell ref="A12:J12"/>
    <mergeCell ref="F15:I15"/>
    <mergeCell ref="B35:J3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E642-EED7-4937-B528-376AB48F1EE7}">
  <dimension ref="A1:J45"/>
  <sheetViews>
    <sheetView zoomScale="80" zoomScaleNormal="80" workbookViewId="0">
      <pane ySplit="1" topLeftCell="A2" activePane="bottomLeft" state="frozen"/>
      <selection pane="bottomLeft" activeCell="A9" sqref="A9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F15:I15"/>
    <mergeCell ref="A1:J1"/>
    <mergeCell ref="A12:J12"/>
    <mergeCell ref="A11:J11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C8E1-C9DA-45BD-B73B-7521063AD367}">
  <dimension ref="A1:J45"/>
  <sheetViews>
    <sheetView workbookViewId="0">
      <pane ySplit="1" topLeftCell="A5" activePane="bottomLeft" state="frozen"/>
      <selection pane="bottomLeft" activeCell="E23" sqref="E23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66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B97A-7F06-4418-A020-7176AC18CA0E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67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95F3-FB80-4F2F-A59F-8F12952B154D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68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9F97-4634-44F8-867B-A15AFCBE9DCC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69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8EE2-CEB6-40C3-BD5E-15CE2075B1EA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70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31E7-75C9-4B0E-AFCF-74DB9BA81D19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6.77734375" customWidth="1"/>
    <col min="2" max="2" width="38" customWidth="1"/>
    <col min="3" max="3" width="12.44140625" customWidth="1"/>
    <col min="4" max="5" width="17.77734375" customWidth="1"/>
    <col min="6" max="9" width="10.77734375" customWidth="1"/>
    <col min="10" max="10" width="35.77734375" customWidth="1"/>
  </cols>
  <sheetData>
    <row r="1" spans="1:10" ht="28.8" x14ac:dyDescent="0.55000000000000004">
      <c r="A1" s="31" t="s">
        <v>71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" x14ac:dyDescent="0.3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">
      <c r="A5" s="8" t="s">
        <v>38</v>
      </c>
      <c r="B5" s="10"/>
    </row>
    <row r="6" spans="1:10" x14ac:dyDescent="0.3">
      <c r="A6" s="8" t="s">
        <v>39</v>
      </c>
      <c r="B6" s="10"/>
    </row>
    <row r="7" spans="1:10" x14ac:dyDescent="0.3">
      <c r="A7" s="9" t="s">
        <v>40</v>
      </c>
      <c r="B7" s="10"/>
    </row>
    <row r="8" spans="1:10" x14ac:dyDescent="0.3">
      <c r="A8" s="9" t="s">
        <v>41</v>
      </c>
      <c r="B8" s="10"/>
    </row>
    <row r="9" spans="1:10" x14ac:dyDescent="0.3">
      <c r="A9" s="9" t="s">
        <v>42</v>
      </c>
      <c r="B9" s="10"/>
    </row>
    <row r="11" spans="1:10" x14ac:dyDescent="0.3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" x14ac:dyDescent="0.3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2"/>
      <c r="F15" s="42" t="s">
        <v>46</v>
      </c>
      <c r="G15" s="42"/>
      <c r="H15" s="42"/>
      <c r="I15" s="42"/>
    </row>
    <row r="16" spans="1:10" x14ac:dyDescent="0.3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" x14ac:dyDescent="0.3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83581AE75E3448E2425BE2C4A9358" ma:contentTypeVersion="2" ma:contentTypeDescription="Een nieuw document maken." ma:contentTypeScope="" ma:versionID="3613ffd620ebef032c0b03220f523539">
  <xsd:schema xmlns:xsd="http://www.w3.org/2001/XMLSchema" xmlns:xs="http://www.w3.org/2001/XMLSchema" xmlns:p="http://schemas.microsoft.com/office/2006/metadata/properties" xmlns:ns2="87f001ec-f7b3-49be-8676-481a173a404e" targetNamespace="http://schemas.microsoft.com/office/2006/metadata/properties" ma:root="true" ma:fieldsID="972cec87c5ab16132ba820573bf22a25" ns2:_="">
    <xsd:import namespace="87f001ec-f7b3-49be-8676-481a173a4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001ec-f7b3-49be-8676-481a173a4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E2576-8ACA-4472-AE2B-4AF07B9AFF6B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87f001ec-f7b3-49be-8676-481a173a404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025CB3-4618-43BF-8CBB-8A6ABF966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f001ec-f7b3-49be-8676-481a173a4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AA98B7-DD2A-4000-A348-80CCBB5620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Epic overview</vt:lpstr>
      <vt:lpstr>Backlog</vt:lpstr>
      <vt:lpstr>Sprint 0</vt:lpstr>
      <vt:lpstr>Sprint 1</vt:lpstr>
      <vt:lpstr>Sprint 2</vt:lpstr>
      <vt:lpstr>Sprint 3</vt:lpstr>
      <vt:lpstr>Sprint 4</vt:lpstr>
      <vt:lpstr>Sprint 5</vt:lpstr>
      <vt:lpstr>Sprint 6</vt:lpstr>
      <vt:lpstr>Sprint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Dries</dc:creator>
  <cp:keywords/>
  <dc:description/>
  <cp:lastModifiedBy>A G</cp:lastModifiedBy>
  <cp:revision/>
  <dcterms:created xsi:type="dcterms:W3CDTF">2022-02-08T18:46:41Z</dcterms:created>
  <dcterms:modified xsi:type="dcterms:W3CDTF">2026-02-23T13:05:48Z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0x0101009EB83581AE75E3448E2425BE2C4A9358</vt:lpwstr>
  </property>
</Properties>
</file>