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cr\Documents\AP\2eJ-semester2\AI Project\AI-Project\Docs\"/>
    </mc:Choice>
  </mc:AlternateContent>
  <xr:revisionPtr revIDLastSave="0" documentId="13_ncr:1_{518AF41C-4D30-4AA6-8D60-665D5F70FF5F}" xr6:coauthVersionLast="47" xr6:coauthVersionMax="47" xr10:uidLastSave="{00000000-0000-0000-0000-000000000000}"/>
  <bookViews>
    <workbookView xWindow="-108" yWindow="-108" windowWidth="23256" windowHeight="12456" activeTab="2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1" l="1"/>
  <c r="B9" i="12"/>
  <c r="F31" i="12"/>
  <c r="F6" i="1"/>
  <c r="F7" i="1"/>
  <c r="F8" i="1"/>
  <c r="F10" i="1"/>
  <c r="F12" i="1"/>
  <c r="F13" i="1"/>
  <c r="F14" i="1"/>
  <c r="F15" i="1"/>
  <c r="F16" i="1"/>
  <c r="F17" i="1"/>
  <c r="F18" i="1"/>
  <c r="F19" i="1"/>
  <c r="F20" i="1"/>
  <c r="I31" i="12"/>
  <c r="H31" i="12"/>
  <c r="D10" i="3" s="1"/>
  <c r="G31" i="12"/>
  <c r="D9" i="3" s="1"/>
  <c r="D15" i="3"/>
  <c r="D16" i="3"/>
  <c r="D17" i="3"/>
  <c r="C16" i="3"/>
  <c r="C17" i="3"/>
  <c r="C15" i="3"/>
  <c r="I31" i="10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H31" i="2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<sst xmlns="http://schemas.openxmlformats.org/spreadsheetml/2006/main" count="648" uniqueCount="227">
  <si>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</si>
  <si>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</si>
  <si>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</si>
  <si>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</si>
  <si>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</si>
  <si>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</si>
  <si>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</si>
  <si>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</si>
  <si>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</si>
  <si>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</si>
  <si>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</si>
  <si>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</si>
  <si>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</si>
  <si>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</si>
  <si>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</si>
  <si>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</si>
  <si>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</si>
  <si>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</si>
  <si>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</si>
  <si>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</si>
  <si>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</si>
  <si>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</si>
  <si>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</si>
  <si>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</si>
  <si>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</si>
  <si>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</si>
  <si>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</si>
  <si>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</si>
  <si>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</si>
  <si>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</si>
  <si>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</si>
  <si>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</si>
  <si>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</si>
  <si>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</si>
  <si>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</si>
  <si>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</si>
  <si>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</si>
  <si>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</si>
  <si>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</si>
  <si>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</si>
  <si>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</si>
  <si>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</si>
  <si>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</si>
  <si>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</si>
  <si>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</si>
  <si>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</si>
  <si>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</si>
  <si>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</si>
  <si>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</si>
  <si>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</si>
  <si>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</si>
  <si>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</si>
  <si>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</si>
  <si>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</si>
  <si>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</si>
  <si>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</si>
  <si>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</si>
  <si>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</si>
  <si>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</si>
  <si>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</si>
  <si>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</si>
  <si>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</si>
  <si>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</si>
  <si>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</si>
  <si>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</si>
  <si>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</si>
  <si>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</si>
  <si>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</si>
  <si>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</si>
  <si>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</si>
  <si>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</si>
  <si>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</si>
  <si>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</si>
  <si>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</si>
  <si>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</si>
  <si>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</si>
  <si>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</si>
  <si>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</si>
  <si>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</si>
  <si>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</si>
  <si>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</si>
  <si>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</si>
  <si>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</si>
  <si>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MH</t>
  </si>
  <si>
    <t>CRM-integratie</t>
  </si>
  <si>
    <t>REQ-NF02</t>
  </si>
  <si>
    <t>Cloudplatform</t>
  </si>
  <si>
    <t>Gebruiksvriendelijke interface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</si>
  <si>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</si>
  <si>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</si>
  <si>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</si>
  <si>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</si>
  <si>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</si>
  <si>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</si>
  <si>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</si>
  <si>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</si>
  <si>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</si>
  <si>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</si>
  <si>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</si>
  <si>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</si>
  <si>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</si>
  <si>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</si>
  <si>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</si>
  <si>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</si>
  <si>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</si>
  <si>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Containerisatie met Docker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</si>
  <si>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</si>
  <si>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</si>
  <si>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</si>
  <si>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</si>
  <si>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</si>
  <si>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</si>
  <si>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</si>
  <si>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</si>
  <si>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</si>
  <si>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Als gebruiker wil ik dat mijn persoonlijke inloggegevens gehashed wordt zodat het veilig opgeslaan is.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</si>
  <si>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</si>
  <si>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</si>
  <si>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</si>
  <si>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</si>
  <si>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</si>
  <si>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</si>
  <si>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</si>
  <si>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</si>
  <si>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</si>
  <si>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</si>
  <si>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</si>
  <si>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</si>
  <si>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</si>
  <si>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</si>
  <si>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</si>
  <si>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</si>
  <si>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</si>
  <si>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</si>
  <si>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</si>
  <si>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</si>
  <si>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</si>
  <si>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</si>
  <si>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</si>
  <si>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</si>
  <si>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</si>
  <si>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REQ-NF03</t>
  </si>
  <si>
    <t>REQ-NF01</t>
  </si>
  <si>
    <t>Formulier beheer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</si>
  <si>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</si>
  <si>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</si>
  <si>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</si>
  <si>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</si>
  <si>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</si>
  <si>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</si>
  <si>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</si>
  <si>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</si>
  <si>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</si>
  <si>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</si>
  <si>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</si>
  <si>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</si>
  <si>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</si>
  <si>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</si>
  <si>
    <t>Database Update (bedrijven)</t>
  </si>
  <si>
    <t>Database Update (vacatures)</t>
  </si>
  <si>
    <t>Als developer wil ik de web applicatie verpakken in een Docker-container zodat de applicatie consistent functioneert in elke omgeving en we geen last hebben van verschillen in lokale serverconfiguraties.</t>
  </si>
  <si>
    <t>Richard</t>
  </si>
  <si>
    <t>Development omgeving</t>
  </si>
  <si>
    <t>Als developer wil ik een development omgeving zodat we vaste versie werken.</t>
  </si>
  <si>
    <t>Soufiane</t>
  </si>
  <si>
    <t>Angeles</t>
  </si>
  <si>
    <t>Soufiane, Richard &amp; Angeles</t>
  </si>
  <si>
    <t>S O K R A T E S</t>
  </si>
  <si>
    <t>NONE</t>
  </si>
  <si>
    <t>Inloggegevens hash</t>
  </si>
  <si>
    <t>GH-02</t>
  </si>
  <si>
    <t>GH-03</t>
  </si>
  <si>
    <t>GH-04</t>
  </si>
  <si>
    <t>GH-05</t>
  </si>
  <si>
    <t>GH-06</t>
  </si>
  <si>
    <t>GH-07</t>
  </si>
  <si>
    <t>GH-08</t>
  </si>
  <si>
    <t>GH-09</t>
  </si>
  <si>
    <t>GH-10</t>
  </si>
  <si>
    <t>GH-11</t>
  </si>
  <si>
    <t>GH-12</t>
  </si>
  <si>
    <t>GH-13</t>
  </si>
  <si>
    <t>GH-14</t>
  </si>
  <si>
    <t>GH-15</t>
  </si>
  <si>
    <t>GH-16</t>
  </si>
  <si>
    <t>GH-17</t>
  </si>
  <si>
    <t>GH-18</t>
  </si>
  <si>
    <t>GH-19</t>
  </si>
  <si>
    <t>GH-20</t>
  </si>
  <si>
    <t>GH-21</t>
  </si>
  <si>
    <t>GH-22</t>
  </si>
  <si>
    <t>GH-23</t>
  </si>
  <si>
    <t>GH-24</t>
  </si>
  <si>
    <t>GH-25</t>
  </si>
  <si>
    <t>GH-26</t>
  </si>
  <si>
    <t>GH-27</t>
  </si>
  <si>
    <t>GH-28</t>
  </si>
  <si>
    <t>GH-29</t>
  </si>
  <si>
    <t>GH-30</t>
  </si>
  <si>
    <t>GH-31</t>
  </si>
  <si>
    <t>GH-32</t>
  </si>
  <si>
    <t>GH-33</t>
  </si>
  <si>
    <t>GH-29 &amp; GH-30</t>
  </si>
  <si>
    <t>2 lessen + 2 meetings</t>
  </si>
  <si>
    <t>Als salesmedewerker wil ik dat mijn prospectielijsten permanent worden opgeslagen, zodat ik mijn werk kan hervatten zonder gegevens te verliezen.</t>
  </si>
  <si>
    <t>Als gebruiker wil ik bedrijven kunnen zoeken zodat ik snel een bedrijfsprofiel kan vinden.</t>
  </si>
  <si>
    <t>Als gebruiker wil ik veilig kunnen inloggen met mijn credentials zodat alleen ik toegang heb tot mijn data.</t>
  </si>
  <si>
    <t>Als beheerder wil ik het AI model kunnen bijwerken met nieuwe data zodat de voorspellingen relevant blijven.</t>
  </si>
  <si>
    <t>Als nieuwe gebruiker wil ik toegang tot een handleiding zodat ik zelfstandig kan starten zonder hulp.</t>
  </si>
  <si>
    <t>Product &amp; klant formulier</t>
  </si>
  <si>
    <t>Als gebruiker wil ik een formulier invullen over mijn product of ideale werkgever zodat ik een gepersonaliseerde prospectielijst ontvang.</t>
  </si>
  <si>
    <t>Functionaliteit om binnen de applicatie gericht te zoeken en data te filteren op relevante criteria.</t>
  </si>
  <si>
    <t>Het automatisch ophalen en synchroniseren van data uit de benodigde gegevensbronnen.</t>
  </si>
  <si>
    <t>Veilige toegang via login en het beheren van gebruikersrollen en bijbehorende rechten.</t>
  </si>
  <si>
    <t>Koppeling met een CRM-systeem voor een naadloze uitwisseling van prospectgegevens.</t>
  </si>
  <si>
    <t>Het volledig beheren (aanmaken, inzien, bewerken en verwijderen) van lijsten met prospecten.</t>
  </si>
  <si>
    <t>Het initieel trainen van het model op bedrijfsdata en het periodiek hertrainen voor optimale prestaties en zodat het up to date is.</t>
  </si>
  <si>
    <t>Hosting en configuratie van de volledige applicatie binnen een cloudomgeving.</t>
  </si>
  <si>
    <t>Inrichten van de ontwikkelinfrastructuur, inclusief versiebeheer en deployment-pipelines.</t>
  </si>
  <si>
    <t>Implementatie van een AI-algoritme om prospecten automatisch te scoren en te rangschikken.</t>
  </si>
  <si>
    <t>Een intuïtief UI-design en een heldere handleiding voor een optimale gebruikerservaring.</t>
  </si>
  <si>
    <t>Gebruik van gestandaardiseerde formulieren om consistente data-invoer te waarborgen.</t>
  </si>
  <si>
    <t>Genereren van periodieke rapportages en overzichten over de resultaten en modelprestaties.</t>
  </si>
  <si>
    <t>Mogelijkheid voor gebruikers om feedback te geven op modeloutput ter verbetering van de accuratesse.</t>
  </si>
  <si>
    <t>Optioneel? We hebben hiervoor geen userstories.</t>
  </si>
  <si>
    <t xml:space="preserve">GH-4, GH-5,  GH-24 </t>
  </si>
  <si>
    <t>(Her)training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</si>
</sst>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8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center" vertical="top" wrapText="1"/>
    </xf>
    <xf numFmtId="0" fontId="7" fillId="0" borderId="15" xfId="0" applyFont="1" applyBorder="1" applyAlignment="1">
      <alignment horizontal="center" vertical="top" wrapText="1"/>
    </xf>
    <xf numFmtId="0" fontId="0" fillId="0" borderId="0" xfId="0"/>
    <xf numFmtId="0" fontId="0" fillId="0" borderId="11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0" fillId="0" borderId="5" xfId="0" applyBorder="1"/>
    <xf numFmtId="0" fontId="0" fillId="0" borderId="13" xfId="0" applyBorder="1"/>
    <xf numFmtId="0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FF4343"/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COUNTIF(Backlog!$I$4:$I$52, B15)</calculatedColumnFormula>
    </tableColumn>
    <tableColumn id="3" xr3:uid="{8E35AA80-EB15-4700-9B95-52F62AF6B801}" name="Aantal SP" dataDxfId="108">
      <calculatedColumnFormula>SUMIF(Backlog!$I$4:$I$52, B15, Backlog!$G$4:$G$52)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7" totalsRowShown="0" headerRowDxfId="107" dataDxfId="106">
  <autoFilter ref="A3:J37" xr:uid="{0C31D63E-5C3E-42E3-BE92-09D26924F40D}"/>
  <sortState xmlns:xlrd2="http://schemas.microsoft.com/office/spreadsheetml/2017/richdata2" ref="A4:J36">
    <sortCondition ref="A3:A36"/>
  </sortState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>
      <calculatedColumnFormula>A3</calculatedColumnFormula>
    </tableColumn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F15" sqref="F15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" thickBot="1" x14ac:dyDescent="0.35"/>
    <row r="3" spans="1:9" ht="15" thickBot="1" x14ac:dyDescent="0.35">
      <c r="B3" s="2" t="s">
        <v>1</v>
      </c>
      <c r="C3" s="32" t="s">
        <v>167</v>
      </c>
      <c r="D3" s="33"/>
    </row>
    <row r="4" spans="1:9" ht="15" thickBot="1" x14ac:dyDescent="0.35">
      <c r="B4" s="2" t="s">
        <v>2</v>
      </c>
      <c r="C4" s="34" t="s">
        <v>73</v>
      </c>
      <c r="D4" s="35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74</v>
      </c>
      <c r="D8">
        <f>'Sprint 0'!F31+'Sprint 1'!F31+'Sprint 2'!F31+'Sprint 3'!F31+'Sprint 4'!F31+'Sprint 5'!F31+'Sprint 6'!F31+'Sprint 7'!F31</f>
        <v>15.5</v>
      </c>
    </row>
    <row r="9" spans="1:9" x14ac:dyDescent="0.3">
      <c r="B9" s="2" t="s">
        <v>8</v>
      </c>
      <c r="C9" t="s">
        <v>75</v>
      </c>
      <c r="D9">
        <f>'Sprint 0'!G31+'Sprint 1'!G31+'Sprint 2'!G31+'Sprint 3'!G31+'Sprint 4'!G31+'Sprint 5'!G31+'Sprint 6'!G31+'Sprint 7'!G31</f>
        <v>14.5</v>
      </c>
    </row>
    <row r="10" spans="1:9" x14ac:dyDescent="0.3">
      <c r="B10" s="2" t="s">
        <v>9</v>
      </c>
      <c r="C10" t="s">
        <v>76</v>
      </c>
      <c r="D10">
        <f>'Sprint 0'!H31+'Sprint 1'!H31+'Sprint 2'!H31+'Sprint 3'!H31+'Sprint 4'!H31+'Sprint 5'!H31+'Sprint 6'!H31+'Sprint 7'!H31</f>
        <v>17.5</v>
      </c>
    </row>
    <row r="11" spans="1:9" x14ac:dyDescent="0.3">
      <c r="B11" s="2" t="s">
        <v>10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COUNTIF(Backlog!$I$4:$I$52, B15)</f>
        <v>29</v>
      </c>
      <c r="D15">
        <f>SUMIF(Backlog!$I$4:$I$52, B15, Backlog!$G$4:$G$52)</f>
        <v>172</v>
      </c>
    </row>
    <row r="16" spans="1:9" x14ac:dyDescent="0.3">
      <c r="B16" t="s">
        <v>16</v>
      </c>
      <c r="C16">
        <f>COUNTIF(Backlog!$I$4:$I$52, B16)</f>
        <v>2</v>
      </c>
      <c r="D16">
        <f>SUMIF(Backlog!$I$4:$I$52, B16, Backlog!$G$4:$G$52)</f>
        <v>11</v>
      </c>
    </row>
    <row r="17" spans="2:4" x14ac:dyDescent="0.3">
      <c r="B17" t="s">
        <v>17</v>
      </c>
      <c r="C17">
        <f>COUNTIF(Backlog!$I$4:$I$52, B17)</f>
        <v>2</v>
      </c>
      <c r="D17">
        <f>SUMIF(Backlog!$I$4:$I$52, B17, Backlog!$G$4:$G$52)</f>
        <v>1.5</v>
      </c>
    </row>
    <row r="18" spans="2:4" x14ac:dyDescent="0.3">
      <c r="B18" s="2" t="s">
        <v>18</v>
      </c>
      <c r="C18" s="2">
        <f>SUM(Table4[Totaal aantal])</f>
        <v>33</v>
      </c>
      <c r="D18" s="2">
        <f>SUM(Table4[Aantal SP])</f>
        <v>184.5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topLeftCell="A3" workbookViewId="0">
      <selection activeCell="E16" sqref="E16"/>
    </sheetView>
  </sheetViews>
  <sheetFormatPr defaultRowHeight="14.4" x14ac:dyDescent="0.3"/>
  <cols>
    <col min="1" max="1" width="29" customWidth="1"/>
    <col min="2" max="2" width="12.5546875" customWidth="1"/>
    <col min="3" max="3" width="107.33203125" customWidth="1"/>
    <col min="4" max="4" width="17.6640625" customWidth="1"/>
    <col min="5" max="5" width="41.77734375" customWidth="1"/>
  </cols>
  <sheetData>
    <row r="1" spans="1:15" ht="28.8" x14ac:dyDescent="0.55000000000000004">
      <c r="A1" s="31" t="s">
        <v>19</v>
      </c>
      <c r="B1" s="31"/>
      <c r="C1" s="31"/>
      <c r="D1" s="31"/>
      <c r="E1" s="31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36" t="s">
        <v>72</v>
      </c>
      <c r="B2" s="36"/>
      <c r="C2" s="36"/>
      <c r="D2" s="36"/>
      <c r="E2" s="36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36"/>
      <c r="B3" s="36"/>
      <c r="C3" s="36"/>
      <c r="D3" s="36"/>
      <c r="E3" s="36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36"/>
      <c r="B4" s="36"/>
      <c r="C4" s="36"/>
      <c r="D4" s="36"/>
      <c r="E4" s="36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36"/>
      <c r="B5" s="36"/>
      <c r="C5" s="36"/>
      <c r="D5" s="36"/>
      <c r="E5" s="36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36"/>
      <c r="B6" s="36"/>
      <c r="C6" s="36"/>
      <c r="D6" s="36"/>
      <c r="E6" s="36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36"/>
      <c r="B7" s="36"/>
      <c r="C7" s="36"/>
      <c r="D7" s="36"/>
      <c r="E7" s="36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36"/>
      <c r="B8" s="36"/>
      <c r="C8" s="36"/>
      <c r="D8" s="36"/>
      <c r="E8" s="36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37"/>
      <c r="B9" s="37"/>
      <c r="C9" s="37"/>
      <c r="D9" s="37"/>
      <c r="E9" s="37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  <c r="E10" s="15" t="s">
        <v>30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106</v>
      </c>
      <c r="B12" s="19" t="s">
        <v>77</v>
      </c>
      <c r="C12" t="s">
        <v>211</v>
      </c>
      <c r="D12" s="17" t="s">
        <v>83</v>
      </c>
    </row>
    <row r="13" spans="1:15" ht="15" thickBot="1" x14ac:dyDescent="0.35">
      <c r="A13" t="s">
        <v>103</v>
      </c>
      <c r="B13" s="19" t="s">
        <v>78</v>
      </c>
      <c r="C13" s="17" t="s">
        <v>212</v>
      </c>
      <c r="D13" s="17" t="s">
        <v>83</v>
      </c>
    </row>
    <row r="14" spans="1:15" ht="15" thickBot="1" x14ac:dyDescent="0.35">
      <c r="A14" t="s">
        <v>89</v>
      </c>
      <c r="B14" s="19" t="s">
        <v>79</v>
      </c>
      <c r="C14" t="s">
        <v>213</v>
      </c>
      <c r="D14" s="17" t="s">
        <v>83</v>
      </c>
    </row>
    <row r="15" spans="1:15" ht="15" thickBot="1" x14ac:dyDescent="0.35">
      <c r="A15" t="s">
        <v>84</v>
      </c>
      <c r="B15" s="19" t="s">
        <v>80</v>
      </c>
      <c r="C15" t="s">
        <v>214</v>
      </c>
      <c r="D15" s="17" t="s">
        <v>88</v>
      </c>
      <c r="E15" t="s">
        <v>224</v>
      </c>
    </row>
    <row r="16" spans="1:15" ht="15" thickBot="1" x14ac:dyDescent="0.35">
      <c r="A16" t="s">
        <v>90</v>
      </c>
      <c r="B16" s="19" t="s">
        <v>81</v>
      </c>
      <c r="C16" s="20" t="s">
        <v>215</v>
      </c>
      <c r="D16" s="17" t="s">
        <v>83</v>
      </c>
    </row>
    <row r="17" spans="1:5" ht="15" thickBot="1" x14ac:dyDescent="0.35">
      <c r="A17" t="s">
        <v>123</v>
      </c>
      <c r="B17" s="19" t="s">
        <v>82</v>
      </c>
      <c r="C17" s="17" t="s">
        <v>216</v>
      </c>
      <c r="D17" s="17" t="s">
        <v>83</v>
      </c>
    </row>
    <row r="18" spans="1:5" ht="15" thickBot="1" x14ac:dyDescent="0.35">
      <c r="A18" t="s">
        <v>86</v>
      </c>
      <c r="B18" s="19" t="s">
        <v>91</v>
      </c>
      <c r="C18" s="17" t="s">
        <v>217</v>
      </c>
      <c r="D18" s="17" t="s">
        <v>83</v>
      </c>
      <c r="E18" s="20"/>
    </row>
    <row r="19" spans="1:5" ht="15" thickBot="1" x14ac:dyDescent="0.35">
      <c r="A19" t="s">
        <v>118</v>
      </c>
      <c r="B19" s="19" t="s">
        <v>95</v>
      </c>
      <c r="C19" s="18" t="s">
        <v>218</v>
      </c>
      <c r="D19" s="18" t="s">
        <v>83</v>
      </c>
    </row>
    <row r="20" spans="1:5" x14ac:dyDescent="0.3">
      <c r="A20" t="s">
        <v>146</v>
      </c>
      <c r="B20" s="27" t="s">
        <v>147</v>
      </c>
      <c r="C20" s="17" t="s">
        <v>219</v>
      </c>
      <c r="D20" s="17" t="s">
        <v>83</v>
      </c>
      <c r="E20" s="20"/>
    </row>
    <row r="21" spans="1:5" x14ac:dyDescent="0.3">
      <c r="A21" t="s">
        <v>87</v>
      </c>
      <c r="B21" s="17" t="s">
        <v>142</v>
      </c>
      <c r="C21" s="17" t="s">
        <v>220</v>
      </c>
      <c r="D21" s="17" t="s">
        <v>96</v>
      </c>
      <c r="E21" s="20"/>
    </row>
    <row r="22" spans="1:5" x14ac:dyDescent="0.3">
      <c r="A22" t="s">
        <v>143</v>
      </c>
      <c r="B22" s="17" t="s">
        <v>85</v>
      </c>
      <c r="C22" s="20" t="s">
        <v>221</v>
      </c>
      <c r="D22" s="18" t="s">
        <v>83</v>
      </c>
      <c r="E22" s="20"/>
    </row>
    <row r="23" spans="1:5" ht="15" thickBot="1" x14ac:dyDescent="0.35">
      <c r="A23" t="s">
        <v>94</v>
      </c>
      <c r="B23" s="17" t="s">
        <v>141</v>
      </c>
      <c r="C23" t="s">
        <v>222</v>
      </c>
      <c r="D23" t="s">
        <v>88</v>
      </c>
    </row>
    <row r="24" spans="1:5" ht="15" thickBot="1" x14ac:dyDescent="0.35">
      <c r="A24" t="s">
        <v>93</v>
      </c>
      <c r="B24" s="28" t="s">
        <v>92</v>
      </c>
      <c r="C24" t="s">
        <v>223</v>
      </c>
      <c r="D24" t="s">
        <v>88</v>
      </c>
    </row>
    <row r="25" spans="1:5" x14ac:dyDescent="0.3">
      <c r="A25" s="16"/>
      <c r="B25" s="16"/>
      <c r="C25" s="16"/>
      <c r="D25" s="16"/>
    </row>
    <row r="26" spans="1:5" x14ac:dyDescent="0.3">
      <c r="B26" s="17"/>
      <c r="C26" s="17"/>
      <c r="D26" s="17"/>
    </row>
    <row r="27" spans="1:5" x14ac:dyDescent="0.3">
      <c r="B27" s="17"/>
      <c r="C27" s="17"/>
      <c r="D27" s="17"/>
    </row>
    <row r="28" spans="1:5" x14ac:dyDescent="0.3">
      <c r="B28" s="17"/>
      <c r="C28" s="17"/>
      <c r="D28" s="17"/>
    </row>
    <row r="29" spans="1:5" x14ac:dyDescent="0.3">
      <c r="B29" s="17"/>
      <c r="C29" s="17"/>
      <c r="D29" s="17"/>
    </row>
    <row r="30" spans="1:5" x14ac:dyDescent="0.3">
      <c r="B30" s="17"/>
      <c r="C30" s="17"/>
      <c r="D30" s="17"/>
    </row>
    <row r="31" spans="1:5" x14ac:dyDescent="0.3">
      <c r="B31" s="17"/>
      <c r="C31" s="18"/>
      <c r="D31" s="18"/>
    </row>
    <row r="32" spans="1:5" x14ac:dyDescent="0.3">
      <c r="B32" s="17"/>
      <c r="C32" s="17"/>
      <c r="D32" s="17"/>
    </row>
    <row r="33" spans="1:4" x14ac:dyDescent="0.3">
      <c r="B33" s="17"/>
      <c r="C33" s="17"/>
      <c r="D33" s="17"/>
    </row>
    <row r="35" spans="1:4" x14ac:dyDescent="0.3">
      <c r="A35" s="16"/>
      <c r="B35" s="16"/>
      <c r="C35" s="16"/>
      <c r="D35" s="16"/>
    </row>
    <row r="36" spans="1:4" x14ac:dyDescent="0.3">
      <c r="B36" s="17"/>
      <c r="C36" s="17"/>
      <c r="D36" s="17"/>
    </row>
    <row r="37" spans="1:4" x14ac:dyDescent="0.3">
      <c r="B37" s="17"/>
      <c r="C37" s="17"/>
      <c r="D37" s="17"/>
    </row>
    <row r="38" spans="1:4" x14ac:dyDescent="0.3">
      <c r="B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7"/>
      <c r="D44" s="17"/>
    </row>
    <row r="45" spans="1:4" x14ac:dyDescent="0.3">
      <c r="B45" s="17"/>
      <c r="C45" s="18"/>
      <c r="D45" s="18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8" spans="1:4" x14ac:dyDescent="0.3">
      <c r="B48" s="17"/>
      <c r="C48" s="17"/>
      <c r="D48" s="17"/>
    </row>
    <row r="50" spans="1:4" x14ac:dyDescent="0.3">
      <c r="B50" s="16"/>
      <c r="C50" s="16"/>
      <c r="D50" s="16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3" spans="1:4" x14ac:dyDescent="0.3">
      <c r="B53" s="17"/>
      <c r="C53" s="17"/>
      <c r="D53" s="17"/>
    </row>
    <row r="55" spans="1:4" x14ac:dyDescent="0.3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2:E9"/>
    <mergeCell ref="A1:E1"/>
  </mergeCells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7"/>
  <sheetViews>
    <sheetView tabSelected="1" zoomScale="102" zoomScaleNormal="80" workbookViewId="0">
      <pane ySplit="3" topLeftCell="A11" activePane="bottomLeft" state="frozen"/>
      <selection pane="bottomLeft" activeCell="D9" sqref="D9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31" t="s">
        <v>24</v>
      </c>
      <c r="B1" s="31"/>
      <c r="C1" s="31"/>
      <c r="D1" s="31"/>
      <c r="E1" s="31"/>
      <c r="F1" s="31"/>
      <c r="G1" s="31"/>
      <c r="H1" s="31"/>
      <c r="I1" s="31"/>
      <c r="J1" s="31"/>
    </row>
    <row r="2" spans="1:12" x14ac:dyDescent="0.3">
      <c r="L2" s="2" t="s">
        <v>25</v>
      </c>
    </row>
    <row r="3" spans="1:12" ht="15" thickBot="1" x14ac:dyDescent="0.35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43.8" thickBot="1" x14ac:dyDescent="0.35">
      <c r="A4" s="3" t="s">
        <v>97</v>
      </c>
      <c r="B4" s="3" t="s">
        <v>98</v>
      </c>
      <c r="C4" s="19" t="s">
        <v>91</v>
      </c>
      <c r="D4" s="3" t="s">
        <v>204</v>
      </c>
      <c r="E4" s="3" t="s">
        <v>32</v>
      </c>
      <c r="F4" s="3" t="s">
        <v>168</v>
      </c>
      <c r="G4" s="3">
        <v>5</v>
      </c>
      <c r="H4" s="3"/>
      <c r="I4" s="3" t="s">
        <v>15</v>
      </c>
      <c r="J4" s="3"/>
      <c r="L4" t="s">
        <v>16</v>
      </c>
    </row>
    <row r="5" spans="1:12" ht="29.4" thickBot="1" x14ac:dyDescent="0.35">
      <c r="A5" s="3" t="s">
        <v>170</v>
      </c>
      <c r="B5" s="3" t="s">
        <v>108</v>
      </c>
      <c r="C5" s="23" t="s">
        <v>77</v>
      </c>
      <c r="D5" s="25" t="s">
        <v>205</v>
      </c>
      <c r="E5" s="3" t="s">
        <v>32</v>
      </c>
      <c r="F5" s="30" t="s">
        <v>168</v>
      </c>
      <c r="G5" s="3">
        <v>5</v>
      </c>
      <c r="H5" s="3"/>
      <c r="I5" s="3" t="s">
        <v>15</v>
      </c>
      <c r="J5" s="3"/>
      <c r="L5" t="s">
        <v>17</v>
      </c>
    </row>
    <row r="6" spans="1:12" ht="29.4" thickBot="1" x14ac:dyDescent="0.35">
      <c r="A6" s="3" t="s">
        <v>171</v>
      </c>
      <c r="B6" s="3" t="s">
        <v>109</v>
      </c>
      <c r="C6" s="23" t="s">
        <v>77</v>
      </c>
      <c r="D6" s="3" t="s">
        <v>107</v>
      </c>
      <c r="E6" s="3" t="s">
        <v>34</v>
      </c>
      <c r="F6" s="3" t="str">
        <f>A5</f>
        <v>GH-02</v>
      </c>
      <c r="G6" s="3">
        <v>3</v>
      </c>
      <c r="H6" s="3"/>
      <c r="I6" s="3" t="s">
        <v>15</v>
      </c>
      <c r="J6" s="3"/>
    </row>
    <row r="7" spans="1:12" ht="43.8" thickBot="1" x14ac:dyDescent="0.35">
      <c r="A7" s="3" t="s">
        <v>172</v>
      </c>
      <c r="B7" s="3" t="s">
        <v>158</v>
      </c>
      <c r="C7" s="19" t="s">
        <v>78</v>
      </c>
      <c r="D7" s="3" t="s">
        <v>104</v>
      </c>
      <c r="E7" s="3" t="s">
        <v>32</v>
      </c>
      <c r="F7" s="3" t="str">
        <f>A19</f>
        <v>GH-16</v>
      </c>
      <c r="G7" s="3">
        <v>8</v>
      </c>
      <c r="H7" s="3"/>
      <c r="I7" s="3" t="s">
        <v>15</v>
      </c>
      <c r="J7" s="3"/>
      <c r="L7" s="2" t="s">
        <v>31</v>
      </c>
    </row>
    <row r="8" spans="1:12" ht="43.8" thickBot="1" x14ac:dyDescent="0.35">
      <c r="A8" s="3" t="s">
        <v>173</v>
      </c>
      <c r="B8" s="3" t="s">
        <v>159</v>
      </c>
      <c r="C8" s="19" t="s">
        <v>78</v>
      </c>
      <c r="D8" s="3" t="s">
        <v>104</v>
      </c>
      <c r="E8" s="3" t="s">
        <v>32</v>
      </c>
      <c r="F8" s="3" t="str">
        <f>A19</f>
        <v>GH-16</v>
      </c>
      <c r="G8" s="3">
        <v>5</v>
      </c>
      <c r="H8" s="3"/>
      <c r="I8" s="3" t="s">
        <v>15</v>
      </c>
      <c r="J8" s="3"/>
      <c r="L8" t="s">
        <v>32</v>
      </c>
    </row>
    <row r="9" spans="1:12" ht="29.4" thickBot="1" x14ac:dyDescent="0.35">
      <c r="A9" s="3" t="s">
        <v>174</v>
      </c>
      <c r="B9" s="3" t="s">
        <v>127</v>
      </c>
      <c r="C9" s="23" t="s">
        <v>78</v>
      </c>
      <c r="D9" s="3" t="s">
        <v>126</v>
      </c>
      <c r="E9" s="3" t="s">
        <v>32</v>
      </c>
      <c r="F9" s="3" t="s">
        <v>225</v>
      </c>
      <c r="G9" s="3">
        <v>13</v>
      </c>
      <c r="H9" s="3"/>
      <c r="I9" s="3" t="s">
        <v>15</v>
      </c>
      <c r="J9" s="3"/>
      <c r="L9" t="s">
        <v>33</v>
      </c>
    </row>
    <row r="10" spans="1:12" ht="29.4" thickBot="1" x14ac:dyDescent="0.35">
      <c r="A10" s="3" t="s">
        <v>175</v>
      </c>
      <c r="B10" s="3" t="s">
        <v>110</v>
      </c>
      <c r="C10" s="24" t="s">
        <v>79</v>
      </c>
      <c r="D10" s="23" t="s">
        <v>206</v>
      </c>
      <c r="E10" s="3" t="s">
        <v>34</v>
      </c>
      <c r="F10" s="3" t="str">
        <f>A11</f>
        <v>GH-08</v>
      </c>
      <c r="G10" s="3">
        <v>2</v>
      </c>
      <c r="H10" s="3"/>
      <c r="I10" s="3" t="s">
        <v>15</v>
      </c>
      <c r="J10" s="3"/>
      <c r="L10" t="s">
        <v>34</v>
      </c>
    </row>
    <row r="11" spans="1:12" ht="29.4" thickBot="1" x14ac:dyDescent="0.35">
      <c r="A11" s="3" t="s">
        <v>176</v>
      </c>
      <c r="B11" s="3" t="s">
        <v>111</v>
      </c>
      <c r="C11" s="24" t="s">
        <v>79</v>
      </c>
      <c r="D11" s="3" t="s">
        <v>112</v>
      </c>
      <c r="E11" s="3" t="s">
        <v>33</v>
      </c>
      <c r="F11" s="3" t="s">
        <v>168</v>
      </c>
      <c r="G11" s="3">
        <v>2</v>
      </c>
      <c r="H11" s="3"/>
      <c r="I11" s="3" t="s">
        <v>15</v>
      </c>
      <c r="J11" s="3"/>
    </row>
    <row r="12" spans="1:12" ht="29.4" thickBot="1" x14ac:dyDescent="0.35">
      <c r="A12" s="3" t="s">
        <v>177</v>
      </c>
      <c r="B12" s="3" t="s">
        <v>113</v>
      </c>
      <c r="C12" s="24" t="s">
        <v>79</v>
      </c>
      <c r="D12" s="3" t="s">
        <v>114</v>
      </c>
      <c r="E12" s="3" t="s">
        <v>34</v>
      </c>
      <c r="F12" s="3" t="str">
        <f>A11</f>
        <v>GH-08</v>
      </c>
      <c r="G12" s="3">
        <v>2</v>
      </c>
      <c r="H12" s="3"/>
      <c r="I12" s="3" t="s">
        <v>15</v>
      </c>
      <c r="J12" s="3"/>
    </row>
    <row r="13" spans="1:12" ht="29.4" thickBot="1" x14ac:dyDescent="0.35">
      <c r="A13" s="3" t="s">
        <v>178</v>
      </c>
      <c r="B13" s="3" t="s">
        <v>169</v>
      </c>
      <c r="C13" s="24" t="s">
        <v>79</v>
      </c>
      <c r="D13" s="3" t="s">
        <v>115</v>
      </c>
      <c r="E13" s="3" t="s">
        <v>32</v>
      </c>
      <c r="F13" s="3" t="str">
        <f>A10</f>
        <v>GH-07</v>
      </c>
      <c r="G13" s="3">
        <v>3</v>
      </c>
      <c r="H13" s="3"/>
      <c r="I13" s="3" t="s">
        <v>15</v>
      </c>
      <c r="J13" s="3"/>
    </row>
    <row r="14" spans="1:12" ht="29.4" thickBot="1" x14ac:dyDescent="0.35">
      <c r="A14" s="3" t="s">
        <v>179</v>
      </c>
      <c r="B14" s="3" t="s">
        <v>120</v>
      </c>
      <c r="C14" s="24" t="s">
        <v>81</v>
      </c>
      <c r="D14" s="3" t="s">
        <v>116</v>
      </c>
      <c r="E14" s="3" t="s">
        <v>33</v>
      </c>
      <c r="F14" s="3" t="str">
        <f>A19</f>
        <v>GH-16</v>
      </c>
      <c r="G14" s="3">
        <v>2</v>
      </c>
      <c r="H14" s="3"/>
      <c r="I14" s="3" t="s">
        <v>15</v>
      </c>
      <c r="J14" s="3"/>
    </row>
    <row r="15" spans="1:12" ht="29.4" thickBot="1" x14ac:dyDescent="0.35">
      <c r="A15" s="3" t="s">
        <v>180</v>
      </c>
      <c r="B15" s="3" t="s">
        <v>121</v>
      </c>
      <c r="C15" s="24" t="s">
        <v>81</v>
      </c>
      <c r="D15" s="3" t="s">
        <v>117</v>
      </c>
      <c r="E15" s="3" t="s">
        <v>33</v>
      </c>
      <c r="F15" s="3" t="str">
        <f>A19</f>
        <v>GH-16</v>
      </c>
      <c r="G15" s="3">
        <v>2</v>
      </c>
      <c r="H15" s="3"/>
      <c r="I15" s="3" t="s">
        <v>15</v>
      </c>
      <c r="J15" s="3"/>
    </row>
    <row r="16" spans="1:12" ht="29.4" thickBot="1" x14ac:dyDescent="0.35">
      <c r="A16" s="3" t="s">
        <v>181</v>
      </c>
      <c r="B16" s="3" t="s">
        <v>122</v>
      </c>
      <c r="C16" s="24" t="s">
        <v>81</v>
      </c>
      <c r="D16" s="3" t="s">
        <v>119</v>
      </c>
      <c r="E16" s="3" t="s">
        <v>34</v>
      </c>
      <c r="F16" s="3" t="str">
        <f>A19</f>
        <v>GH-16</v>
      </c>
      <c r="G16" s="3">
        <v>0.5</v>
      </c>
      <c r="H16" s="3"/>
      <c r="I16" s="3" t="s">
        <v>15</v>
      </c>
      <c r="J16" s="3"/>
    </row>
    <row r="17" spans="1:10" ht="29.4" thickBot="1" x14ac:dyDescent="0.35">
      <c r="A17" s="3" t="s">
        <v>182</v>
      </c>
      <c r="B17" s="3" t="s">
        <v>226</v>
      </c>
      <c r="C17" s="29" t="s">
        <v>82</v>
      </c>
      <c r="D17" s="3" t="s">
        <v>207</v>
      </c>
      <c r="E17" s="3" t="s">
        <v>32</v>
      </c>
      <c r="F17" s="3" t="str">
        <f>A29</f>
        <v>GH-26</v>
      </c>
      <c r="G17" s="3">
        <v>40</v>
      </c>
      <c r="H17" s="3"/>
      <c r="I17" s="3" t="s">
        <v>15</v>
      </c>
      <c r="J17" s="3"/>
    </row>
    <row r="18" spans="1:10" ht="29.4" thickBot="1" x14ac:dyDescent="0.35">
      <c r="A18" s="3" t="s">
        <v>183</v>
      </c>
      <c r="B18" s="3" t="s">
        <v>125</v>
      </c>
      <c r="C18" s="24" t="s">
        <v>82</v>
      </c>
      <c r="D18" s="3" t="s">
        <v>124</v>
      </c>
      <c r="E18" s="3" t="s">
        <v>33</v>
      </c>
      <c r="F18" s="3" t="str">
        <f>A29</f>
        <v>GH-26</v>
      </c>
      <c r="G18" s="3">
        <v>5</v>
      </c>
      <c r="H18" s="3"/>
      <c r="I18" s="3" t="s">
        <v>15</v>
      </c>
      <c r="J18" s="3"/>
    </row>
    <row r="19" spans="1:10" ht="43.8" thickBot="1" x14ac:dyDescent="0.35">
      <c r="A19" s="3" t="s">
        <v>184</v>
      </c>
      <c r="B19" s="3" t="s">
        <v>99</v>
      </c>
      <c r="C19" s="19" t="s">
        <v>91</v>
      </c>
      <c r="D19" s="3" t="s">
        <v>100</v>
      </c>
      <c r="E19" s="3" t="s">
        <v>32</v>
      </c>
      <c r="F19" s="3" t="str">
        <f>A21</f>
        <v>GH-18</v>
      </c>
      <c r="G19" s="3">
        <v>5</v>
      </c>
      <c r="H19" s="3"/>
      <c r="I19" s="3" t="s">
        <v>15</v>
      </c>
      <c r="J19" s="3"/>
    </row>
    <row r="20" spans="1:10" ht="43.8" thickBot="1" x14ac:dyDescent="0.35">
      <c r="A20" s="3" t="s">
        <v>185</v>
      </c>
      <c r="B20" s="3" t="s">
        <v>101</v>
      </c>
      <c r="C20" s="29" t="s">
        <v>91</v>
      </c>
      <c r="D20" s="3" t="s">
        <v>102</v>
      </c>
      <c r="E20" s="3" t="s">
        <v>32</v>
      </c>
      <c r="F20" s="3" t="str">
        <f>A21</f>
        <v>GH-18</v>
      </c>
      <c r="G20" s="3">
        <v>0.5</v>
      </c>
      <c r="H20" s="3"/>
      <c r="I20" s="3" t="s">
        <v>15</v>
      </c>
      <c r="J20" s="3"/>
    </row>
    <row r="21" spans="1:10" ht="58.2" thickBot="1" x14ac:dyDescent="0.35">
      <c r="A21" s="3" t="s">
        <v>186</v>
      </c>
      <c r="B21" s="3" t="s">
        <v>105</v>
      </c>
      <c r="C21" s="29" t="s">
        <v>91</v>
      </c>
      <c r="D21" s="3" t="s">
        <v>160</v>
      </c>
      <c r="E21" s="3" t="s">
        <v>32</v>
      </c>
      <c r="F21" s="3" t="s">
        <v>168</v>
      </c>
      <c r="G21" s="3">
        <v>8</v>
      </c>
      <c r="H21" s="3"/>
      <c r="I21" s="3" t="s">
        <v>15</v>
      </c>
      <c r="J21" s="3"/>
    </row>
    <row r="22" spans="1:10" ht="29.4" thickBot="1" x14ac:dyDescent="0.35">
      <c r="A22" s="3" t="s">
        <v>187</v>
      </c>
      <c r="B22" s="3" t="s">
        <v>128</v>
      </c>
      <c r="C22" s="24" t="s">
        <v>95</v>
      </c>
      <c r="D22" s="3" t="s">
        <v>129</v>
      </c>
      <c r="E22" s="3" t="s">
        <v>32</v>
      </c>
      <c r="F22" s="3" t="s">
        <v>168</v>
      </c>
      <c r="G22" s="3">
        <v>8</v>
      </c>
      <c r="H22" s="3"/>
      <c r="I22" s="3" t="s">
        <v>16</v>
      </c>
      <c r="J22" s="3"/>
    </row>
    <row r="23" spans="1:10" ht="29.4" thickBot="1" x14ac:dyDescent="0.35">
      <c r="A23" s="3" t="s">
        <v>188</v>
      </c>
      <c r="B23" s="3" t="s">
        <v>130</v>
      </c>
      <c r="C23" s="24" t="s">
        <v>95</v>
      </c>
      <c r="D23" s="3" t="s">
        <v>132</v>
      </c>
      <c r="E23" s="3" t="s">
        <v>32</v>
      </c>
      <c r="F23" s="3" t="s">
        <v>168</v>
      </c>
      <c r="G23" s="3">
        <v>0.5</v>
      </c>
      <c r="H23" s="3"/>
      <c r="I23" s="3" t="s">
        <v>17</v>
      </c>
      <c r="J23" s="3"/>
    </row>
    <row r="24" spans="1:10" ht="29.4" thickBot="1" x14ac:dyDescent="0.35">
      <c r="A24" s="3" t="s">
        <v>189</v>
      </c>
      <c r="B24" s="3" t="s">
        <v>131</v>
      </c>
      <c r="C24" s="24" t="s">
        <v>95</v>
      </c>
      <c r="D24" s="3" t="s">
        <v>133</v>
      </c>
      <c r="E24" s="3" t="s">
        <v>32</v>
      </c>
      <c r="F24" s="3" t="s">
        <v>168</v>
      </c>
      <c r="G24" s="3">
        <v>1</v>
      </c>
      <c r="H24" s="3"/>
      <c r="I24" s="3" t="s">
        <v>17</v>
      </c>
      <c r="J24" s="3"/>
    </row>
    <row r="25" spans="1:10" ht="29.4" thickBot="1" x14ac:dyDescent="0.35">
      <c r="A25" s="3" t="s">
        <v>190</v>
      </c>
      <c r="B25" s="3" t="s">
        <v>134</v>
      </c>
      <c r="C25" s="24" t="s">
        <v>95</v>
      </c>
      <c r="D25" s="3" t="s">
        <v>135</v>
      </c>
      <c r="E25" s="3" t="s">
        <v>32</v>
      </c>
      <c r="F25" s="3" t="s">
        <v>168</v>
      </c>
      <c r="G25" s="3">
        <v>1</v>
      </c>
      <c r="H25" s="3"/>
      <c r="I25" s="3" t="s">
        <v>15</v>
      </c>
      <c r="J25" s="3"/>
    </row>
    <row r="26" spans="1:10" ht="28.8" x14ac:dyDescent="0.3">
      <c r="A26" s="3" t="s">
        <v>191</v>
      </c>
      <c r="B26" s="3" t="s">
        <v>162</v>
      </c>
      <c r="C26" s="24" t="s">
        <v>95</v>
      </c>
      <c r="D26" s="3" t="s">
        <v>163</v>
      </c>
      <c r="E26" s="3" t="s">
        <v>33</v>
      </c>
      <c r="F26" s="3" t="s">
        <v>168</v>
      </c>
      <c r="G26" s="3">
        <v>3</v>
      </c>
      <c r="H26" s="3"/>
      <c r="I26" s="3" t="s">
        <v>16</v>
      </c>
      <c r="J26" s="3"/>
    </row>
    <row r="27" spans="1:10" ht="28.8" x14ac:dyDescent="0.3">
      <c r="A27" s="3" t="s">
        <v>192</v>
      </c>
      <c r="B27" s="3" t="s">
        <v>155</v>
      </c>
      <c r="C27" s="22" t="s">
        <v>147</v>
      </c>
      <c r="D27" s="3" t="s">
        <v>156</v>
      </c>
      <c r="E27" s="3" t="s">
        <v>32</v>
      </c>
      <c r="F27" s="3" t="s">
        <v>168</v>
      </c>
      <c r="G27" s="3">
        <v>5</v>
      </c>
      <c r="H27" s="3"/>
      <c r="I27" s="3" t="s">
        <v>15</v>
      </c>
      <c r="J27" s="3"/>
    </row>
    <row r="28" spans="1:10" ht="28.8" x14ac:dyDescent="0.3">
      <c r="A28" s="3" t="s">
        <v>193</v>
      </c>
      <c r="B28" s="3" t="s">
        <v>154</v>
      </c>
      <c r="C28" s="22" t="s">
        <v>147</v>
      </c>
      <c r="D28" s="3" t="s">
        <v>157</v>
      </c>
      <c r="E28" s="3" t="s">
        <v>32</v>
      </c>
      <c r="F28" s="3" t="s">
        <v>168</v>
      </c>
      <c r="G28" s="3">
        <v>8</v>
      </c>
      <c r="H28" s="3"/>
      <c r="I28" s="3" t="s">
        <v>15</v>
      </c>
      <c r="J28" s="3"/>
    </row>
    <row r="29" spans="1:10" ht="28.8" x14ac:dyDescent="0.3">
      <c r="A29" s="3" t="s">
        <v>194</v>
      </c>
      <c r="B29" s="3" t="s">
        <v>140</v>
      </c>
      <c r="C29" s="22" t="s">
        <v>142</v>
      </c>
      <c r="D29" s="3" t="s">
        <v>208</v>
      </c>
      <c r="E29" s="3" t="s">
        <v>34</v>
      </c>
      <c r="F29" s="3" t="s">
        <v>168</v>
      </c>
      <c r="G29" s="3">
        <v>5</v>
      </c>
      <c r="H29" s="3"/>
      <c r="I29" s="3" t="s">
        <v>15</v>
      </c>
      <c r="J29" s="3"/>
    </row>
    <row r="30" spans="1:10" ht="28.8" x14ac:dyDescent="0.3">
      <c r="A30" s="3" t="s">
        <v>195</v>
      </c>
      <c r="B30" s="3" t="s">
        <v>137</v>
      </c>
      <c r="C30" s="22" t="s">
        <v>85</v>
      </c>
      <c r="D30" s="3" t="s">
        <v>136</v>
      </c>
      <c r="E30" s="3" t="s">
        <v>34</v>
      </c>
      <c r="F30" s="3" t="s">
        <v>168</v>
      </c>
      <c r="G30" s="3">
        <v>2</v>
      </c>
      <c r="H30" s="3"/>
      <c r="I30" s="3" t="s">
        <v>15</v>
      </c>
      <c r="J30" s="3"/>
    </row>
    <row r="31" spans="1:10" ht="28.8" x14ac:dyDescent="0.3">
      <c r="A31" s="3" t="s">
        <v>196</v>
      </c>
      <c r="B31" s="3" t="s">
        <v>139</v>
      </c>
      <c r="C31" s="22" t="s">
        <v>85</v>
      </c>
      <c r="D31" s="3" t="s">
        <v>138</v>
      </c>
      <c r="E31" s="3" t="s">
        <v>33</v>
      </c>
      <c r="F31" s="3" t="s">
        <v>168</v>
      </c>
      <c r="G31" s="3">
        <v>13</v>
      </c>
      <c r="H31" s="3"/>
      <c r="I31" s="3" t="s">
        <v>15</v>
      </c>
      <c r="J31" s="3"/>
    </row>
    <row r="32" spans="1:10" ht="43.2" x14ac:dyDescent="0.3">
      <c r="A32" s="3" t="s">
        <v>197</v>
      </c>
      <c r="B32" s="3" t="s">
        <v>209</v>
      </c>
      <c r="C32" s="22" t="s">
        <v>85</v>
      </c>
      <c r="D32" s="3" t="s">
        <v>210</v>
      </c>
      <c r="E32" s="3" t="s">
        <v>32</v>
      </c>
      <c r="F32" s="3" t="s">
        <v>168</v>
      </c>
      <c r="G32" s="3">
        <v>5</v>
      </c>
      <c r="H32" s="3"/>
      <c r="I32" s="3" t="s">
        <v>15</v>
      </c>
      <c r="J32" s="3"/>
    </row>
    <row r="33" spans="1:10" ht="28.8" x14ac:dyDescent="0.3">
      <c r="A33" s="3" t="s">
        <v>198</v>
      </c>
      <c r="B33" s="3" t="s">
        <v>144</v>
      </c>
      <c r="C33" s="26" t="s">
        <v>85</v>
      </c>
      <c r="D33" s="3" t="s">
        <v>145</v>
      </c>
      <c r="E33" s="3" t="s">
        <v>33</v>
      </c>
      <c r="F33" s="3" t="s">
        <v>202</v>
      </c>
      <c r="G33" s="3">
        <v>1</v>
      </c>
      <c r="H33" s="3"/>
      <c r="I33" s="3" t="s">
        <v>15</v>
      </c>
      <c r="J33" s="3"/>
    </row>
    <row r="34" spans="1:10" ht="43.8" thickBot="1" x14ac:dyDescent="0.35">
      <c r="A34" s="3" t="s">
        <v>199</v>
      </c>
      <c r="B34" s="3" t="s">
        <v>148</v>
      </c>
      <c r="C34" s="26" t="s">
        <v>141</v>
      </c>
      <c r="D34" s="3" t="s">
        <v>149</v>
      </c>
      <c r="E34" s="3" t="s">
        <v>33</v>
      </c>
      <c r="F34" s="3" t="s">
        <v>193</v>
      </c>
      <c r="G34" s="3">
        <v>5</v>
      </c>
      <c r="H34" s="3"/>
      <c r="I34" s="3" t="s">
        <v>15</v>
      </c>
      <c r="J34" s="3"/>
    </row>
    <row r="35" spans="1:10" ht="43.8" thickBot="1" x14ac:dyDescent="0.35">
      <c r="A35" s="3" t="s">
        <v>200</v>
      </c>
      <c r="B35" s="3" t="s">
        <v>150</v>
      </c>
      <c r="C35" s="24" t="s">
        <v>92</v>
      </c>
      <c r="D35" s="3" t="s">
        <v>151</v>
      </c>
      <c r="E35" s="3" t="s">
        <v>34</v>
      </c>
      <c r="F35" s="3" t="s">
        <v>168</v>
      </c>
      <c r="G35" s="3">
        <v>8</v>
      </c>
      <c r="H35" s="3"/>
      <c r="I35" s="3" t="s">
        <v>15</v>
      </c>
      <c r="J35" s="3"/>
    </row>
    <row r="36" spans="1:10" ht="28.8" x14ac:dyDescent="0.3">
      <c r="A36" s="3" t="s">
        <v>201</v>
      </c>
      <c r="B36" s="3" t="s">
        <v>152</v>
      </c>
      <c r="C36" s="24" t="s">
        <v>92</v>
      </c>
      <c r="D36" s="3" t="s">
        <v>153</v>
      </c>
      <c r="E36" s="3" t="s">
        <v>34</v>
      </c>
      <c r="F36" s="3" t="s">
        <v>200</v>
      </c>
      <c r="G36" s="3">
        <v>8</v>
      </c>
      <c r="H36" s="3"/>
      <c r="I36" s="3" t="s">
        <v>15</v>
      </c>
      <c r="J36" s="3"/>
    </row>
    <row r="37" spans="1:10" x14ac:dyDescent="0.3">
      <c r="A37" s="3"/>
      <c r="B37" s="3"/>
      <c r="C37" s="3"/>
      <c r="D37" s="3"/>
      <c r="E37" s="3"/>
      <c r="F37" s="47" t="str">
        <f>A36</f>
        <v>GH-33</v>
      </c>
      <c r="G37" s="3"/>
      <c r="H37" s="3"/>
      <c r="I37" s="3"/>
      <c r="J37" s="3"/>
    </row>
  </sheetData>
  <mergeCells count="1">
    <mergeCell ref="A1:J1"/>
  </mergeCells>
  <phoneticPr fontId="10" type="noConversion"/>
  <dataValidations count="2">
    <dataValidation type="list" allowBlank="1" showInputMessage="1" showErrorMessage="1" sqref="I4:I37" xr:uid="{BB889DD1-88CD-4BDB-98A5-3CC9C5D63332}">
      <formula1>$L$3:$L$5</formula1>
    </dataValidation>
    <dataValidation type="list" allowBlank="1" showInputMessage="1" showErrorMessage="1" sqref="E4:E37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M45"/>
  <sheetViews>
    <sheetView zoomScale="93" zoomScaleNormal="60" workbookViewId="0">
      <pane ySplit="1" topLeftCell="A11" activePane="bottomLeft" state="frozen"/>
      <selection pane="bottomLeft" activeCell="B5" sqref="B5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4" width="28.6640625" customWidth="1"/>
    <col min="5" max="5" width="17.77734375" customWidth="1"/>
    <col min="6" max="9" width="10.77734375" customWidth="1"/>
    <col min="10" max="10" width="35.77734375" customWidth="1"/>
    <col min="12" max="12" width="10.109375" bestFit="1" customWidth="1"/>
  </cols>
  <sheetData>
    <row r="1" spans="1:13" ht="28.8" x14ac:dyDescent="0.55000000000000004">
      <c r="A1" s="31" t="s">
        <v>35</v>
      </c>
      <c r="B1" s="31"/>
      <c r="C1" s="31"/>
      <c r="D1" s="31"/>
      <c r="E1" s="31"/>
      <c r="F1" s="31"/>
      <c r="G1" s="31"/>
      <c r="H1" s="31"/>
      <c r="I1" s="31"/>
      <c r="J1" s="31"/>
    </row>
    <row r="3" spans="1:13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3" x14ac:dyDescent="0.3">
      <c r="A5" s="8" t="s">
        <v>38</v>
      </c>
      <c r="B5" s="21">
        <v>46058</v>
      </c>
    </row>
    <row r="6" spans="1:13" x14ac:dyDescent="0.3">
      <c r="A6" s="8" t="s">
        <v>39</v>
      </c>
      <c r="B6" s="21">
        <v>46076</v>
      </c>
    </row>
    <row r="7" spans="1:13" x14ac:dyDescent="0.3">
      <c r="A7" s="9" t="s">
        <v>40</v>
      </c>
      <c r="B7" s="10">
        <v>3</v>
      </c>
      <c r="L7" t="s">
        <v>15</v>
      </c>
    </row>
    <row r="8" spans="1:13" x14ac:dyDescent="0.3">
      <c r="A8" s="9" t="s">
        <v>41</v>
      </c>
      <c r="B8" s="10"/>
      <c r="L8" t="s">
        <v>16</v>
      </c>
    </row>
    <row r="9" spans="1:13" x14ac:dyDescent="0.3">
      <c r="A9" s="9" t="s">
        <v>42</v>
      </c>
      <c r="B9" s="10">
        <f>SUM(C17:C25)</f>
        <v>32</v>
      </c>
      <c r="L9" t="s">
        <v>17</v>
      </c>
    </row>
    <row r="11" spans="1:13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3" ht="43.5" customHeight="1" x14ac:dyDescent="0.3">
      <c r="A12" s="41" t="s">
        <v>44</v>
      </c>
      <c r="B12" s="41"/>
      <c r="C12" s="41"/>
      <c r="D12" s="41"/>
      <c r="E12" s="41"/>
      <c r="F12" s="41"/>
      <c r="G12" s="41"/>
      <c r="H12" s="41"/>
      <c r="I12" s="41"/>
      <c r="J12" s="41"/>
    </row>
    <row r="14" spans="1:13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3" x14ac:dyDescent="0.3">
      <c r="A15" s="2"/>
      <c r="F15" s="42" t="s">
        <v>46</v>
      </c>
      <c r="G15" s="42"/>
      <c r="H15" s="42"/>
      <c r="I15" s="42"/>
      <c r="L15" s="2" t="s">
        <v>7</v>
      </c>
      <c r="M15" t="s">
        <v>74</v>
      </c>
    </row>
    <row r="16" spans="1:13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  <c r="L16" s="2" t="s">
        <v>8</v>
      </c>
      <c r="M16" t="s">
        <v>75</v>
      </c>
    </row>
    <row r="17" spans="1:13" x14ac:dyDescent="0.3">
      <c r="A17" s="3" t="s">
        <v>187</v>
      </c>
      <c r="B17" s="3" t="s">
        <v>128</v>
      </c>
      <c r="C17" s="3">
        <v>8</v>
      </c>
      <c r="D17" s="3" t="s">
        <v>166</v>
      </c>
      <c r="E17" s="3" t="s">
        <v>17</v>
      </c>
      <c r="F17" s="3">
        <v>9.5</v>
      </c>
      <c r="G17" s="3">
        <v>9.5</v>
      </c>
      <c r="H17" s="3">
        <v>9.5</v>
      </c>
      <c r="I17" s="3"/>
      <c r="J17" s="3" t="s">
        <v>203</v>
      </c>
      <c r="L17" s="2" t="s">
        <v>9</v>
      </c>
      <c r="M17" t="s">
        <v>76</v>
      </c>
    </row>
    <row r="18" spans="1:13" x14ac:dyDescent="0.3">
      <c r="A18" s="3" t="s">
        <v>188</v>
      </c>
      <c r="B18" s="3" t="s">
        <v>130</v>
      </c>
      <c r="C18" s="3">
        <v>0.5</v>
      </c>
      <c r="D18" s="3" t="s">
        <v>161</v>
      </c>
      <c r="E18" s="3" t="s">
        <v>17</v>
      </c>
      <c r="F18" s="3"/>
      <c r="G18" s="3"/>
      <c r="H18" s="3">
        <v>0.5</v>
      </c>
      <c r="I18" s="3"/>
      <c r="J18" s="3"/>
    </row>
    <row r="19" spans="1:13" x14ac:dyDescent="0.3">
      <c r="A19" s="3" t="s">
        <v>189</v>
      </c>
      <c r="B19" s="3" t="s">
        <v>131</v>
      </c>
      <c r="C19" s="3">
        <v>1</v>
      </c>
      <c r="D19" s="3" t="s">
        <v>166</v>
      </c>
      <c r="E19" s="3" t="s">
        <v>17</v>
      </c>
      <c r="F19" s="3">
        <v>1</v>
      </c>
      <c r="G19" s="3">
        <v>1</v>
      </c>
      <c r="H19" s="3">
        <v>1</v>
      </c>
      <c r="I19" s="3"/>
      <c r="J19" s="3"/>
    </row>
    <row r="20" spans="1:13" x14ac:dyDescent="0.3">
      <c r="A20" s="3" t="s">
        <v>190</v>
      </c>
      <c r="B20" s="3" t="s">
        <v>134</v>
      </c>
      <c r="C20" s="3">
        <v>1</v>
      </c>
      <c r="D20" s="3" t="s">
        <v>165</v>
      </c>
      <c r="E20" s="3" t="s">
        <v>17</v>
      </c>
      <c r="F20" s="3"/>
      <c r="G20" s="3">
        <v>1</v>
      </c>
      <c r="H20" s="3"/>
      <c r="I20" s="3"/>
      <c r="J20" s="3"/>
    </row>
    <row r="21" spans="1:13" x14ac:dyDescent="0.3">
      <c r="A21" s="3" t="s">
        <v>191</v>
      </c>
      <c r="B21" s="3" t="s">
        <v>162</v>
      </c>
      <c r="C21" s="3">
        <v>3</v>
      </c>
      <c r="D21" s="3" t="s">
        <v>164</v>
      </c>
      <c r="E21" s="3" t="s">
        <v>17</v>
      </c>
      <c r="F21" s="3">
        <v>2</v>
      </c>
      <c r="G21" s="3"/>
      <c r="H21" s="3"/>
      <c r="I21" s="3"/>
      <c r="J21" s="3"/>
    </row>
    <row r="22" spans="1:13" x14ac:dyDescent="0.3">
      <c r="A22" s="3" t="s">
        <v>185</v>
      </c>
      <c r="B22" s="3" t="s">
        <v>101</v>
      </c>
      <c r="C22" s="3">
        <v>0.5</v>
      </c>
      <c r="D22" s="3" t="s">
        <v>161</v>
      </c>
      <c r="E22" s="3" t="s">
        <v>17</v>
      </c>
      <c r="F22" s="3"/>
      <c r="G22" s="3"/>
      <c r="H22" s="3">
        <v>0.5</v>
      </c>
      <c r="I22" s="3"/>
      <c r="J22" s="3"/>
    </row>
    <row r="23" spans="1:13" x14ac:dyDescent="0.3">
      <c r="A23" s="3" t="s">
        <v>186</v>
      </c>
      <c r="B23" s="3" t="s">
        <v>105</v>
      </c>
      <c r="C23" s="3">
        <v>8</v>
      </c>
      <c r="D23" s="3" t="s">
        <v>161</v>
      </c>
      <c r="E23" s="3" t="s">
        <v>17</v>
      </c>
      <c r="F23" s="3">
        <v>1</v>
      </c>
      <c r="G23" s="3"/>
      <c r="H23" s="3">
        <v>6</v>
      </c>
      <c r="I23" s="3"/>
      <c r="J23" s="3"/>
    </row>
    <row r="24" spans="1:13" x14ac:dyDescent="0.3">
      <c r="A24" s="3" t="s">
        <v>184</v>
      </c>
      <c r="B24" s="3" t="s">
        <v>99</v>
      </c>
      <c r="C24" s="3">
        <v>5</v>
      </c>
      <c r="D24" s="3" t="s">
        <v>165</v>
      </c>
      <c r="E24" s="3" t="s">
        <v>17</v>
      </c>
      <c r="F24" s="3"/>
      <c r="G24" s="3">
        <v>3</v>
      </c>
      <c r="H24" s="3"/>
      <c r="I24" s="3"/>
      <c r="J24" s="3"/>
    </row>
    <row r="25" spans="1:13" x14ac:dyDescent="0.3">
      <c r="A25" s="3" t="s">
        <v>97</v>
      </c>
      <c r="B25" s="3" t="s">
        <v>98</v>
      </c>
      <c r="C25" s="3">
        <v>5</v>
      </c>
      <c r="D25" s="3" t="s">
        <v>164</v>
      </c>
      <c r="E25" s="3" t="s">
        <v>17</v>
      </c>
      <c r="F25" s="3">
        <v>2</v>
      </c>
      <c r="G25" s="3"/>
      <c r="H25" s="3"/>
      <c r="I25" s="3"/>
      <c r="J25" s="3"/>
    </row>
    <row r="26" spans="1:1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3" x14ac:dyDescent="0.3">
      <c r="A31" s="5"/>
      <c r="B31" s="5"/>
      <c r="C31" s="5"/>
      <c r="D31" s="5"/>
      <c r="E31" s="5" t="s">
        <v>18</v>
      </c>
      <c r="F31" s="5">
        <f>SUM(F17:F30)</f>
        <v>15.5</v>
      </c>
      <c r="G31" s="5">
        <f t="shared" ref="G31:I31" si="0">SUM(G17:G30)</f>
        <v>14.5</v>
      </c>
      <c r="H31" s="5">
        <f t="shared" si="0"/>
        <v>17.5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129" zoomScaleNormal="80" workbookViewId="0">
      <pane ySplit="1" topLeftCell="A2" activePane="bottomLeft" state="frozen"/>
      <selection pane="bottomLeft" activeCell="B6" sqref="B6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65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21">
        <v>46076</v>
      </c>
    </row>
    <row r="6" spans="1:10" x14ac:dyDescent="0.3">
      <c r="A6" s="8" t="s">
        <v>39</v>
      </c>
      <c r="B6" s="21">
        <v>46090</v>
      </c>
    </row>
    <row r="7" spans="1:10" x14ac:dyDescent="0.3">
      <c r="A7" s="9" t="s">
        <v>40</v>
      </c>
      <c r="B7" s="10">
        <v>2</v>
      </c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 t="s">
        <v>173</v>
      </c>
      <c r="B17" s="3" t="s">
        <v>159</v>
      </c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 t="s">
        <v>174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 t="s">
        <v>192</v>
      </c>
      <c r="B19" s="3" t="s">
        <v>155</v>
      </c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 t="s">
        <v>182</v>
      </c>
      <c r="B20" s="3" t="s">
        <v>226</v>
      </c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F15:I15"/>
    <mergeCell ref="A1:J1"/>
    <mergeCell ref="A12:J12"/>
    <mergeCell ref="A11:J11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E23" sqref="E23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67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68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69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70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A G</cp:lastModifiedBy>
  <cp:revision/>
  <dcterms:created xsi:type="dcterms:W3CDTF">2022-02-08T18:46:41Z</dcterms:created>
  <dcterms:modified xsi:type="dcterms:W3CDTF">2026-02-23T15:57:49Z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